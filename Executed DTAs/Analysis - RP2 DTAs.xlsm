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hidePivotFieldList="1" defaultThemeVersion="166925"/>
  <mc:AlternateContent xmlns:mc="http://schemas.openxmlformats.org/markup-compatibility/2006">
    <mc:Choice Requires="x15">
      <x15ac:absPath xmlns:x15ac="http://schemas.microsoft.com/office/spreadsheetml/2010/11/ac" url="https://witshealth-my.sharepoint.com/personal/elizabeth_frederick_witsphr_org/Documents/PHR PC/Documents/Wits Climate/HEAT center/Data acquisition/RP2/"/>
    </mc:Choice>
  </mc:AlternateContent>
  <xr:revisionPtr revIDLastSave="135" documentId="8_{530BFD87-3379-461B-A2A7-427B6FEC4050}" xr6:coauthVersionLast="47" xr6:coauthVersionMax="47" xr10:uidLastSave="{531465F0-D141-4DD6-ACB3-8A13D2B8BF55}"/>
  <bookViews>
    <workbookView xWindow="-108" yWindow="-108" windowWidth="23256" windowHeight="12456" xr2:uid="{44CE3158-B623-4201-863C-80B6989CEF11}"/>
  </bookViews>
  <sheets>
    <sheet name="JHB DTA" sheetId="7" r:id="rId1"/>
    <sheet name="abstract" sheetId="6" r:id="rId2"/>
    <sheet name="Analysis - data-acquisition-rp2" sheetId="5" r:id="rId3"/>
    <sheet name="qjaPunsX - data-acquisition-rp2" sheetId="1" state="hidden" r:id="rId4"/>
    <sheet name="JHB" sheetId="4" r:id="rId5"/>
    <sheet name="Abidjan" sheetId="3" r:id="rId6"/>
    <sheet name="Sheet1" sheetId="2" r:id="rId7"/>
  </sheets>
  <calcPr calcId="191029"/>
  <pivotCaches>
    <pivotCache cacheId="2"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6" l="1"/>
  <c r="P51" i="6"/>
  <c r="O51" i="6"/>
  <c r="N51" i="6"/>
  <c r="M51" i="6"/>
  <c r="C51" i="6"/>
  <c r="B6" i="2"/>
  <c r="B5" i="2"/>
  <c r="B4" i="2"/>
  <c r="H18" i="5"/>
  <c r="O13" i="5"/>
  <c r="O12" i="5"/>
  <c r="O5" i="5"/>
  <c r="D18" i="5"/>
  <c r="G18" i="5"/>
  <c r="F18" i="5"/>
  <c r="M18" i="5"/>
  <c r="L18" i="5"/>
  <c r="K18" i="5"/>
  <c r="C18" i="5"/>
  <c r="O8" i="5"/>
  <c r="J18" i="5"/>
  <c r="B18" i="5"/>
  <c r="O7" i="5"/>
  <c r="O15" i="5"/>
  <c r="O11" i="5"/>
  <c r="O10" i="5"/>
  <c r="I18" i="5"/>
  <c r="O14" i="5"/>
  <c r="O6" i="5"/>
  <c r="O16" i="5"/>
  <c r="E18" i="5"/>
  <c r="O9" i="5"/>
</calcChain>
</file>

<file path=xl/sharedStrings.xml><?xml version="1.0" encoding="utf-8"?>
<sst xmlns="http://schemas.openxmlformats.org/spreadsheetml/2006/main" count="2883" uniqueCount="577">
  <si>
    <t>Card ID</t>
  </si>
  <si>
    <t>Card Name</t>
  </si>
  <si>
    <t>Card URL</t>
  </si>
  <si>
    <t>Card Description</t>
  </si>
  <si>
    <t>Labels</t>
  </si>
  <si>
    <t>Members</t>
  </si>
  <si>
    <t>Due Date</t>
  </si>
  <si>
    <t>Last Activity Date</t>
  </si>
  <si>
    <t>List ID</t>
  </si>
  <si>
    <t>List Name</t>
  </si>
  <si>
    <t>Board ID</t>
  </si>
  <si>
    <t>Board Name</t>
  </si>
  <si>
    <t>650c3333de9f4f580f0d364f</t>
  </si>
  <si>
    <t>JHB_NHLS_38_Boston</t>
  </si>
  <si>
    <t>https://trello.com/c/bzkLFYab/227-jhbnhls38boston</t>
  </si>
  <si>
    <t>Mary MasKEW and the Hero group, they developed a really interesting platform with their data science team.Â I think maybe Matthew Cox and others in the US.Â In Boston, I think I'm not Boston.Â Yeah, and that sounded like a really interesting database and they wanted to collaborate and it was a group I think called Quantum who were also involved somehow or Palindrome.</t>
  </si>
  <si>
    <t>Broad Consent (green), HE2RO (pink_light), JHB (lime)</t>
  </si>
  <si>
    <t>2024-07-31T09:53:00.000Z</t>
  </si>
  <si>
    <t>2024-05-24T08:15:38.201Z</t>
  </si>
  <si>
    <t>638f3c82ca20a101dd404d9e</t>
  </si>
  <si>
    <t>Data currently unavailable/start data acquisition when data becomes available</t>
  </si>
  <si>
    <t>6380b56ecdaff3050abb72b8</t>
  </si>
  <si>
    <t>Data Acquisition RP2</t>
  </si>
  <si>
    <t>6389dfaf5c325c04fe29efb1</t>
  </si>
  <si>
    <t>JHB_CHRU_30_REMoxTB_ACTGA5349</t>
  </si>
  <si>
    <t>https://trello.com/c/TVIMNMU3/7-jhbchru30remoxtbactga5349</t>
  </si>
  <si>
    <t>CHRU - Clinical HIV Research Unit, PI Ian Sanne
Clinical HIV Research Unit (CHRU)Johannesburg, Westdene, South Africa, 2092
Controlled Comparison of Two Moxifloxacin Containing Treatment Shortening Regimens in Pulmonary Tuberculosis
[https://clinicaltrials.gov/ct2/show/NCT00864383?term=Two+Months+Ethambutol%2C+Isoniazid%2C+Rifampicin+and+Pyrazinamide&amp;cntry=ZA&amp;draw=2&amp;rank=1](https://clinicaltrials.gov/ct2/show/NCT00864383?term=Two+Months+Ethambutol%2C+Isoniazid%2C+Rifampicin+and+Pyrazinamide&amp;cntry=ZA&amp;draw=2&amp;rank=1 "â€Œ")
â€Œ
Research Officer: Goldberg, Stefan (CDC/DDID/NCIRD/OD) (CTR) [ssg3@cdc.gov](mailto:ssg3@cdc.gov "â€Œ") (Retired) new Research Officer at CDC Kurbatova, Ekaterina (CDC/DDID/NCHHSTP/DTE) [ies3@cdc.gov](mailto:ies3@cdc.gov "â€Œ")
NCT00864383
Study Type :Interventional Â (Clinical Trial)Actual Enrollment :1931
Number of Locations: 47 Locations
Clinical HIV Research Unit (CHRU)Johannesburg, Westdene, **South Africa**, 2092
Study Title: A Randomized, Placebo-Controlled, Double-Blind Trial Comparing Different Drug Combinations for Treating Adult Pulmonary Tuberculosis
Study Design: Participants are randomly assigned to different treatment groups in a parallel manner. The study is quadruple-masked, meaning that the participant, care provider, investigator, and outcome assessor are all unaware of the treatment group assignments. The main goal of the study is to compare the effectiveness of different treatment regimens.
Treatment Comparison:
A two-month intensive phase comparing a combination of Ethambutol, Moxifloxacin, Rifampicin, and Pyrazinamide to the standard regimen (Ethambutol, Isoniazid, Rifampicin, and Pyrazinamide).
A treatment shortening regimen comparing two months of Moxifloxacin, Isoniazid, Rifampicin, and Pyrazinamide followed by two months of Moxifloxacin, Isoniazid, and Rifampicin to the standard regimen (two months of Ethambutol, Isoniazid, Rifampicin, and Pyrazinamide followed by four months of Isoniazid and Rifampicin).
Important Dates:
Study started in January 2008
Primary completion in October 2013
Study completed in February 2014</t>
  </si>
  <si>
    <t>ACTG (red_dark), Broad Consent (green), JHB (lime), Right to Care (purple), Study Ongoing (black)</t>
  </si>
  <si>
    <t>2024-08-23T06:00:00.000Z</t>
  </si>
  <si>
    <t>2024-04-11T09:57:23.384Z</t>
  </si>
  <si>
    <t>642c33d836804083d683e499</t>
  </si>
  <si>
    <t>JHB_WRHI_Soweto_40_HPTN052</t>
  </si>
  <si>
    <t>https://trello.com/c/PGGQrOtw/195-jhbwrhisoweto40hptn052</t>
  </si>
  <si>
    <t>The data is currently not available: we do not yet have de-identified datasets for HPTN052 (it is in progress)</t>
  </si>
  <si>
    <t>Broad Consent (green), JHB (lime), SCHARP_HPTN (black), Study Ongoing (black), Wits RHI (yellow)</t>
  </si>
  <si>
    <t>2024-05-31T10:04:00.000Z</t>
  </si>
  <si>
    <t>2024-05-24T13:44:26.337Z</t>
  </si>
  <si>
    <t>642582c9feaf6332256b0f3b</t>
  </si>
  <si>
    <t>JHB_PHRU_41_CoVPN3008_PF_Soweto</t>
  </si>
  <si>
    <t>https://trello.com/c/f3LMr5hs/161-jhbphru41covpn3008pfsoweto</t>
  </si>
  <si>
    <t>Bara Clinical Research Site, Fatima Laher	, NCT05168813. Study not finished uet, contact next year.
Estimated Completion Date: April 12, 2024 Â  (Final data collection date for primary outcome measure)</t>
  </si>
  <si>
    <t>JHB (lime), Narrow Consent (blue), PHRU (green), Study Ongoing (black)</t>
  </si>
  <si>
    <t>2024-05-24T13:45:54.390Z</t>
  </si>
  <si>
    <t>642582c832346e760d776bb7</t>
  </si>
  <si>
    <t>JHB_Ezin_43_RCT_COVID_Ribavirin_Nitazoxanide</t>
  </si>
  <si>
    <t>https://trello.com/c/ZC82jClv/156-jhbezin43rctcovidribavirinnitazoxanide</t>
  </si>
  <si>
    <t>Simiso Sokhele Send to MRC to ask Franscois to share
NCT04563208
Study Type :Interventional Â (Clinical Trial)
Actual Enrollment :80 participants
Allocation:RandomizedIntervention
Model:Parallel Assignment
Masking:Double (Participant, Care Provider)
Masking Description:Double-blindPrimary Purpose:TreatmentOfficial Title:A Randomized, Double-Blind, Study Comparing the Efficacy, Safety, and Tolerability of Oral Administration of Ribavirin (RBV) and Nitazoxamide (NTZ)Versus Placebo in SARS-CoV-2 Virus Infected Participants (DuACT)
Actual Study Start Date :December 9, 2020
Actual Primary Completion Date :February 28, 2022
Actual Study Completion Date :February 28, 2022</t>
  </si>
  <si>
    <t>Analysis pending (blue_light), Ezintsha (yellow_dark), JHB (lime), Narrow Consent (blue)</t>
  </si>
  <si>
    <t>2024-05-24T13:47:10.001Z</t>
  </si>
  <si>
    <t>6390ac2ecd8fcd04c63dbdb5</t>
  </si>
  <si>
    <t>JHB010_VIDA7_44_PertussisVaccination</t>
  </si>
  <si>
    <t>https://trello.com/c/kft4T7CE/15-jhb010vida744pertussisvaccination</t>
  </si>
  <si>
    <t>Pertussis vaccination among HIV-infected and HIV-uninfected pregnant women - Sanofi Pasteur Trial Code: TD500058
Clinical trials number: NCT05264662
Study Type :Interventional Â (Clinical Trial)Estimated Enrollment :225 participantsAllocation:Non-RandomizedIntervention Model:Parallel AssignmentIntervention Model Description:open label phase IV clinical trialMasking:None (Open Label)Primary Purpose:TreatmentOfficial Title:Pertussis Vaccination Among HIV-infected and HIV-uninfected Pregnant WomenEstimated Study Start Date :March 2022Estimated Primary Completion Date :May 2025Estimated Study Completion Date :June 2025</t>
  </si>
  <si>
    <t>JHB (lime), Narrow Consent (blue), Study Ongoing (black), VIDA (red)</t>
  </si>
  <si>
    <t>2023-10-31T05:00:00.000Z</t>
  </si>
  <si>
    <t>2024-05-24T13:48:05.337Z</t>
  </si>
  <si>
    <t>642582c9fc4ab120032c130d</t>
  </si>
  <si>
    <t>JHB_PHRU_46_ENSEMBLE_COV2.S</t>
  </si>
  <si>
    <t>https://trello.com/c/w8NOB4Qj/163-jhbphru46ensemblecov2s</t>
  </si>
  <si>
    <t>Erica Maxine Lazarus		NCT04505722
The data sharing policy of the Janssen Pharmaceutical Companies of Johnson &amp; Johnson is available at [http://www.janssen.com/clinical-trials/transparency](http://www.janssen.com/clinical-trials/transparency "smartCard-inline") . As noted on this site, requests for access to the study data can be submitted through Yale Open Data Access (YODA) Project site at [http://yoda.yale.edu](http://yoda.yale.edu "smartCard-inline")
Study finished 30 March 2023
44325 participants</t>
  </si>
  <si>
    <t>Broad Consent (green), JHB (lime), PHRU (green), Study Ongoing (black)</t>
  </si>
  <si>
    <t>2024-03-30T10:04:00.000Z</t>
  </si>
  <si>
    <t>2024-05-24T13:49:55.300Z</t>
  </si>
  <si>
    <t>63db9496bcbc9a604349972b</t>
  </si>
  <si>
    <t>JHB_PHRU_48_PHOENIx_MDRTB</t>
  </si>
  <si>
    <t>https://trello.com/c/dTt5VgrL/108-jhbphru48phoenixmdrtb</t>
  </si>
  <si>
    <t>[https://actgnetwork.org/studies/a5300bprotecting-households-on-exposure-to-newly-diagnosed-index-multidrug-resistant-tuberculosis-participants-a5300b-i2003b-phoenix/](https://actgnetwork.org/studies/a5300bprotecting-households-on-exposure-to-newly-diagnosed-index-multidrug-resistant-tuberculosis-participants-a5300b-i2003b-phoenix/ "smartCard-inline")
This trial compares how safe and effective 26 weeks of Delamanid (DLM) is versus 26 weeks of isoniazid (INH) for preventing infection with TB or confirmed or probable active infection with TB among high-risk household contacts (HHC). High-risk household contacts are those with HIV or an immune system problem not from HIV like cancer, latent TB infection, and young children below the age of 5 years. The study will last for 96 weeks and all participants will be randomly assigned one of two groups: DLM daily for adults, adolescents, and children, given for 26 weeks; INH daily for adults, adolescents, and children, given for 26 weeks; Pyridoxine (vitamin B6) daily for adults, adolescents, and children, given for 26 weeks.</t>
  </si>
  <si>
    <t>ACTG (red_dark), JHB (lime), PHRU (green), Study Ongoing (black)</t>
  </si>
  <si>
    <t>2024-05-24T13:55:15.240Z</t>
  </si>
  <si>
    <t>643e9a83230ed7c48a4c3a92</t>
  </si>
  <si>
    <t>JHB_WitsRHI_49_RECOVERY_COVID19</t>
  </si>
  <si>
    <t>https://trello.com/c/OI7rOEDh/203-jhbwitsrhi49recoverycovid19</t>
  </si>
  <si>
    <t>Number of participants: 50,000
Key variable: Treatment with Lopinavir-Ritonavir, Hydroxychloroquine, Corticosteroids, Azithromycin, Colchicine, IV Immunoglobulin (children only), Convalescent plasma, Casirivimab+Imdevimab, Tocilizumab, Aspirin, Baricitinib, Infliximab, Empagliflozin, Sotrovimab, Molnupiravir, Paxlovid or Anakinra (children only) prevents death in patients with COVID-19.
The study started on March 19, 2020 and the estimated primary completion date is November 2023. The estimated study completion date is November 2032.
The [http://ClinicalTrials.gov](http://ClinicalTrials.gov "smartCard-inline")  Identifier for this study is NCT04381936. The sponsor of the study is University of Oxford and the collaborators are UK Research and Innovation, National Institute for Health Research, United Kingdom Wellcome, Bill and Melinda Gates Foundation, Department for International Development, United Kingdom Health Data Research UK, Medical Research Council Population Health Research Unit, and NIHR Clinical Trials Unit Support Funding NIHR Health Protection Research Unit in Emerging and Zoonotic Infections.</t>
  </si>
  <si>
    <t>Broad Consent (green), JHB (lime), Study Ongoing (black), Wits RHI (yellow)</t>
  </si>
  <si>
    <t>2024-07-31T10:04:00.000Z</t>
  </si>
  <si>
    <t>2024-05-24T13:59:45.145Z</t>
  </si>
  <si>
    <t>642582cc35bc6b5b25d2c3ab</t>
  </si>
  <si>
    <t>JHB_VIDA_50_PertussisVax_HIV_PregnantWome</t>
  </si>
  <si>
    <t>https://trello.com/c/yvcl6P58/179-jhbvida50pertussisvaxhivpregnantwome</t>
  </si>
  <si>
    <t>Study description: Pertussis vaccination among HIV-infected and HIV-uninfected pregnant women
Based on the information available, the Sanofi Pasteur trial TD500058 appears to be a study related to maternal pertussis. The principal investigator listed is Prof. Marta Nunes. The sponsor or organisation appears to be ACRO, the African Clinical Research Organization. Please note that this information is derived from a snippet in search results, and it may not be comprehensive or fully accurate
NCT05264662
â€Œ
Trial set to close in 2025
[marta.nunes@wits-vida.org](mailto:marta.nunes@wits-vida.org "â€Œ") Dr Marta Nunes listed as study contact on clinical[trials.gov](http://trials.gov "â€Œ")</t>
  </si>
  <si>
    <t>JHB (lime), Study Ongoing (black), VIDA (red)</t>
  </si>
  <si>
    <t>2024-07-01T06:00:00.000Z</t>
  </si>
  <si>
    <t>2024-03-01T14:54:19.225Z</t>
  </si>
  <si>
    <t>642582ceaf02084d79f19835</t>
  </si>
  <si>
    <t>JHB_WRHI_39_HPTN084</t>
  </si>
  <si>
    <t>https://trello.com/c/wTOflZLN/188-jhbwrhi39hptn084</t>
  </si>
  <si>
    <t>HPTN 084
NCT03164564
Wits Ward 21
N=382 (from Ward 21 and another Soweto site)
PI: Helen Vera Rees
Investigators
Study Chair:Sinead Delany-Moretlwe, PhD, DTM&amp;HWits Reproductive Health and HIV Institute CRS (WRHI CRS)
Study Chair:Mina Hosseinipour, MD, MPHUniversity of North Carolina (UNC) Project-Malawi, Tidziwe Centre
PHRU also a study site:
PI: Glenda Elisabeth Gray
n=3200
Overall 23 sites
NCT03164564
Data unlikely to be available in next few years</t>
  </si>
  <si>
    <t>Broad Consent (green), IS (orange_dark), JHB (lime), PHRU (green), SCHARP_HPTN (black), Study Ongoing (black), Wits RHI (yellow)</t>
  </si>
  <si>
    <t>2024-10-31T10:04:00.000Z</t>
  </si>
  <si>
    <t>2024-05-24T14:12:18.307Z</t>
  </si>
  <si>
    <t>64a51e30b49f241e1b6a6ac6</t>
  </si>
  <si>
    <t>Abidjan socio-economic data</t>
  </si>
  <si>
    <t>https://trello.com/c/gF4vesO8/218-abidjan-socio-economic-data</t>
  </si>
  <si>
    <t>On Monday July 3, Mr. KRA from INS informed me that he had not seen Dr. Dely's e-mail containing the set of variables redefined during the workshop with him.
Dr. Dely sent the e-mail back. We are waiting for his reply.</t>
  </si>
  <si>
    <t>Abidjan (pink)</t>
  </si>
  <si>
    <t>2024-05-21T13:09:43.559Z</t>
  </si>
  <si>
    <t>64c0ed70c76f4cbf215fd0ad</t>
  </si>
  <si>
    <t>Abidjan local data</t>
  </si>
  <si>
    <t>64a51babea57ddd9a2600f22</t>
  </si>
  <si>
    <t>DIS_MSHP</t>
  </si>
  <si>
    <t>https://trello.com/c/EnqMCVU5/217-dismshp</t>
  </si>
  <si>
    <t>Local data on heat-sensitive diseases in health facilities in the city of Abidjan.</t>
  </si>
  <si>
    <t>2024-05-24T09:14:05.895Z</t>
  </si>
  <si>
    <t>64e37ab08613407d7cb69f09</t>
  </si>
  <si>
    <t>ANRS ABIDJAN</t>
  </si>
  <si>
    <t>https://trello.com/c/S7RHqSQL/225-anrs-abidjan</t>
  </si>
  <si>
    <t>2023-08-21T14:58:18.901Z</t>
  </si>
  <si>
    <t>64e33850695c26dbbe586422</t>
  </si>
  <si>
    <t>ANRS</t>
  </si>
  <si>
    <t>64e5bb39785f7388cd8f0aba</t>
  </si>
  <si>
    <t>DATA from ANRS</t>
  </si>
  <si>
    <t>https://trello.com/c/01XRgdve/226-data-from-anrs</t>
  </si>
  <si>
    <t>ANRS can help with DATA since they have a lot of studies.</t>
  </si>
  <si>
    <t>2023-08-23T07:58:09.618Z</t>
  </si>
  <si>
    <t>657aca14ed1425dec08688e1</t>
  </si>
  <si>
    <t>JHB_RTI_41_TRIO</t>
  </si>
  <si>
    <t>https://trello.com/c/z6S5phR1/232-jhbrti41trio</t>
  </si>
  <si>
    <t>Recommendation Arianna van Straaten -access to this study.</t>
  </si>
  <si>
    <t>JHB (lime), NO DETAILS (sky), Wits RHI (yellow)</t>
  </si>
  <si>
    <t>craigparker15</t>
  </si>
  <si>
    <t>2024-06-10T05:00:00.000Z</t>
  </si>
  <si>
    <t>2024-06-04T12:55:01.645Z</t>
  </si>
  <si>
    <t>638723c479805e007b606ac9</t>
  </si>
  <si>
    <t>Identified in review/Application or initial request needs to be sent</t>
  </si>
  <si>
    <t>642582cdcdeecf0041185538</t>
  </si>
  <si>
    <t>JHB_WCR_38_SPECTRA</t>
  </si>
  <si>
    <t>https://trello.com/c/OyZ0iEYe/181-jhbwcr38spectra</t>
  </si>
  <si>
    <t>Wits Clinical Research, Johannesburg, Gauteng, South Africa, 2013DJW Research, Krugersdorp, Gauteng, South Africa, 1739
Soweto Clinical Trials Centre Soweto, Gauteng, South Africa, 1818
Study Type :Interventional Â (Clinical Trial)
Actual Enrollment :31454
Participants Allocation:Randomized Intervention
Model:Parallel Assignment Intervention
Model Description:Each subject will receive 2 doses of their assigned treatment on Days 1 and 22. Booster dose will be given at least 4 months after the second dose (Day 1A for booster dose). The treatment will be administered IM in the deltoid region of the upper non-dominant arm
Masking:Quadruple (Participant, Care Provider, Investigator, Outcomes Assessor)
Primary Purpose:PreventionOfficial
Title:A Double-blind, Randomized, Controlled, Phase 2/3 Study to Evaluate the Efficacy, Immunogenicity, and Safety of CpG 1018/Alum-Adjuvanted Recombinant SARS-CoV-2 Trimeric S-protein Subunit Vaccine (SCB-2019) for the Prevention of SARS-CoV-2- Mediated COVID-19 in Participants Aged 12 Years and Older
Actual Study Start Date :March 24, 2021
Actual Primary Completion Date :September 15, 2022
Estimated Study Completion Date :April 2023
NCT: NCT04672395 ([https://clinicaltrials.gov/study/NCT04672395](https://clinicaltrials.gov/study/NCT04672395 "smartCard-inline") )
EudraCT Number: 2020-004272-17
Article: [https://www.thelancet.com/journals/lancet/article/PIIS0140-6736(22)00055-1/fulltext#%20](https://www.thelancet.com/journals/lancet/article/PIIS0140-6736(22)00055-1/fulltext#%20 "smartCard-inline")
Contact person from WCR: Aysha Badat, Wits Clinical Research, Soweto, Johannesburg, South Africa; Qasim E Bhorat, Soweto Clinical Trials Centre, Johannesburg, South Africa</t>
  </si>
  <si>
    <t>elizabethfrederick14</t>
  </si>
  <si>
    <t>2024-06-04T10:54:00.000Z</t>
  </si>
  <si>
    <t>2024-06-03T09:58:24.322Z</t>
  </si>
  <si>
    <t>6387246d95be9b0051b584f0</t>
  </si>
  <si>
    <t>1st Follow up needs to be actioned</t>
  </si>
  <si>
    <t>64b57cb49fe053f5eea8ce6e</t>
  </si>
  <si>
    <t>ABJ020- Feasibility and Interest of a HIV Quarterly Preventive Global Care in Men Who Have Sex With Men in Sub-Saharan Africa</t>
  </si>
  <si>
    <t>https://trello.com/c/zZTs2kCY/224-abj020-feasibility-and-interest-of-a-hiv-quarterly-preventive-global-care-in-men-who-have-sex-with-men-in-sub-saharan-africa</t>
  </si>
  <si>
    <t>Feasibility and Interest of aÂ HIVÂ Quarterly Preventive Global Care in Men Who Have Sex With Men in Sub-Saharan Africa
NCT02626286
Number of participants : 885
Study date: 2014 - 2019
Hyperlink: [https://clinicaltrials.gov/study/NCT02626286?cond=Feasibility%20and%20Interest%20of%20a%20HIV%20Quarterly%20Preventive%20Global%20Care%20in%20Men%20Who%20Have%20Sex%20With%20Men%20in%20Sub-Saharan%20Africa&amp;rank=1](https://clinicaltrials.gov/study/NCT02626286?cond=Feasibility%20and%20Interest%20of%20a%20HIV%20Quarterly%20Preventive%20Global%20Care%20in%20Men%20Who%20Have%20Sex%20With%20Men%20in%20Sub-Saharan%20Africa&amp;rank=1 "smartCard-inline")
â€Œ
PI : **Ter Tiero Elias Dah**</t>
  </si>
  <si>
    <t>2024-05-31T05:00:00.000Z</t>
  </si>
  <si>
    <t>2024-05-28T11:15:33.222Z</t>
  </si>
  <si>
    <t>638724e5bb60b30517fde104</t>
  </si>
  <si>
    <t>4th follow up: reach out on LinkedIn</t>
  </si>
  <si>
    <t>63971bb9078fd60162be3a41</t>
  </si>
  <si>
    <t>ABJ004-IDSDRC</t>
  </si>
  <si>
    <t>https://trello.com/c/50egLZYp/88-abj004-idsdrc</t>
  </si>
  <si>
    <t>Impact of drug stock-outs on death and retention to care among HIV-infected patients on combination antiretroviral therapy in Abidjan, CÃ´te dâ€™Ivoire.
PI: Armelle Pasquet
Added contacts to email sent recently:
[sylvie.burban@inserm.fr](mailto:sylvie.burban@inserm.fr "â€Œ")
[kfreedberg@partners.org](mailto:kfreedberg@partners.org "â€Œ")</t>
  </si>
  <si>
    <t>2024-05-24T14:37:42.969Z</t>
  </si>
  <si>
    <t>649c06a0d64847b4e48acc7e</t>
  </si>
  <si>
    <t>MUL037 - The Child Development Study (CDS)</t>
  </si>
  <si>
    <t>https://trello.com/c/obi8tqcs/216-mul037-the-child-development-study-cds</t>
  </si>
  <si>
    <t>The Child Development Study (CDS)	
Multicountry: Ghana, Ivory Coast
Dr. Stephan Ehrhardt ([sehrhard@jhsph.edu](mailto:sehrhard@jhsph.edu "â€Œ"))
per google: [sehrhar6@jhu.edu](mailto:sehrhar6@jhu.edu "â€Œ")</t>
  </si>
  <si>
    <t>Abidjan (pink), Multi country (sky_light), Study Ongoing (black)</t>
  </si>
  <si>
    <t>2024-05-28T11:15:57.857Z</t>
  </si>
  <si>
    <t>638724ee422a6300fb360a65</t>
  </si>
  <si>
    <t>5th follow up: if NIH study then ask NIH to reach out to the study</t>
  </si>
  <si>
    <t>642582c7a46c95cf0d714936</t>
  </si>
  <si>
    <t>JHB_CHRU_23_SOLIDARITY</t>
  </si>
  <si>
    <t>https://trello.com/c/CdwJs6KI/150-jhbchru23solidarity</t>
  </si>
  <si>
    <t>Title: Multicenter Adaptive SOLIDARITY - COVID-19 Clinical Trial
PI: Mohammed Siddique Rassool [mrassool@witshealth.co.za](mailto:mrassool@witshealth.co.za "â€Œ")
The main hypothesis of the study is not explicitly stated in the abstract or the article. However, the study aimed to evaluate the effectiveness of four repurposed antiviral drugs in large, randomized trials for hospitalized patients with Covid-19Â¹.
Source: Conversation with Bing, 2023/04/24(1) [https://î€€www.nejm.orgî€/doi/full/10.1056/NEJMoa2023184.](https://xn--www-820q.nejm.xn--org-g30q/doi/full/10.1056/NEJMoa2023184. "â€Œ") [https://www.nejm.org/doi/full/10.1056/NEJMoa2023184](https://www.nejm.org/doi/full/10.1056/NEJMoa2023184 "â€Œ")  Accessed 2023/04/24.
The primary analyses examined in-hospital mortality in the four pairwise comparisons of each trial drug and its control (drug available but patient assigned to the same care without that drug). The rate ratios for death were calculated with stratification according to age and status regarding mechanical ventilation at trial entryÂ¹.
Source: Conversation with Bing, 2023/04/24(1) [https://î€€www.who.intî€/.../î€€solidarityî€-clinical-î€€trialî€-for-covid-19-treatments/î€€interim-resultsî€.](https://xn--www-820q.who.xn--int-g30q/.../%EE%80%80solidarity%EE%80%81-clinical-%EE%80%80trial%EE%80%81-for-covid-19-treatments/%EE%80%80interim-results%EE%80%81. "â€Œ") [https://www.who.int/emergencies/diseases/novel-coronavirus-2019/global-research-on-novel-coronavirus-2019-ncov/solidarity-clinical-trial-for-covid-19-treatments/interim-results](https://www.who.int/emergencies/diseases/novel-coronavirus-2019/global-research-on-novel-coronavirus-2019-ncov/solidarity-clinical-trial-for-covid-19-treatments/interim-results "â€Œ")  Accessed 2023/04/24.
Patients included in the present analysis are from 30 countries from the six WHO Regions: Albania; Argentina; Austria; Belgium; Brazil; Canada; Colombia; Egypt; Finland; France; Honduras; India; Indonesia; Iran; Ireland; Italy; Kuwait; Lebanon; Lithuania; Luxembourg; Malaysia; North Macedonia; Norway; Pakistan; Peru; Philippines; Saudi Arabia; South Africa; Spain; and Switzerland
â€Œ
NB:Data sharing After the trial has ended and its results have been reported, anonymized data sharing will occur as per the Policy Statement on Data Sharing by the World Health Organization. When I click on this link I get a 404 error</t>
  </si>
  <si>
    <t>CHRU (orange), JHB (lime), Study Ongoing (black)</t>
  </si>
  <si>
    <t>2024-01-15T05:00:00.000Z</t>
  </si>
  <si>
    <t>2024-06-03T16:25:21.553Z</t>
  </si>
  <si>
    <t>6387250d1b761001c655338f</t>
  </si>
  <si>
    <t>Expressed interest in participating/Next steps email or address queries on application</t>
  </si>
  <si>
    <t>642582c81cd941795bb62b83</t>
  </si>
  <si>
    <t>JHB_Ezin_25_COVID19_Phase2</t>
  </si>
  <si>
    <t>https://trello.com/c/Ql7cLAxX/157-jhbezin25covid19phase2</t>
  </si>
  <si>
    <t>Francois Venter NCT04532931 n=192
co-author: [Mohamed Farouk Chughlay](https://www.thelancet.com/journals/ebiom/article/PIIS2352-3964(22)00504-7/fulltext# "â€Œ") MMV (now with UCT)
Sponsors and Collaborators
Sponsor: Shin Poong Pharmaceutical Co. Ltd.
Collaborators: Medicines for Malaria Venture
Official Title: Phase 2, Exploratory, Single Center, Randomized, Open Label, Adaptive Clinical Trial to Compare Safety and Efficacy of Four Different Experimental Drug Regimens to Standard of Care for the Treatment of Symptomatic Outpatients With COVID-19Actual Study Start Date :September 3, 2020Actual Primary Completion Date :August 5, 2021Actual Study Completion Date :August 23, 2021
Data sharing statement De-identified participant data are available on reasonable request and with completion of a signed data access agreement from ([https://www](https://www "â€Œ"). [mmv.org/about-us/contact-us](http://mmv.org/about-us/contact-us "â€Œ")) referencing this publication. Data will be available for at least five years from publication of this study</t>
  </si>
  <si>
    <t>Ezintsha (yellow_dark), JHB (lime), Narrow Consent (blue), Shionogi (green_dark)</t>
  </si>
  <si>
    <t>2024-06-04T12:47:22.348Z</t>
  </si>
  <si>
    <t>646dea731a9266a7cf95cc07</t>
  </si>
  <si>
    <t>JHB_WitsRHI_26_MIRA_Acceptability</t>
  </si>
  <si>
    <t>https://trello.com/c/EVsTv1Aw/215-jhbwitsrhi26miraacceptability</t>
  </si>
  <si>
    <t>Liz Montgomery expressed interest in sharing these data.
Here is a summary of the study "Microbicide Ring Acceptability":
The study was conducted to evaluate the acceptability and use of a vaginal microbicide ring for HIV prevention in sub-Saharan Africa. The microbicide ring is a novel method of HIV prevention that involves the use of a ring inserted into the vagina that slowly releases an antiretroviral drug to prevent HIV infection.
The study found that the ring was generally well accepted among women in sub-Saharan Africa. The participants reported that they were comfortable using the ring and that it did not interfere with their daily activities or sexual intercourse. The ring was also found to be easy to insert and remove.
However, some participants reported concerns about potential side effects and the effectiveness of the ring in preventing HIV. There were also concerns about the ring being noticeable to sexual partners.
Overall, the study concluded that while the vaginal microbicide ring is a promising tool for HIV prevention in sub-Saharan Africa, further research is needed to address the concerns raised by the participants. This includes providing more information about the safety and effectiveness of the ring, as well as strategies to ensure that the ring is used consistently and correctly.
Please note that this is a general summary and for more detailed information, you should refer to the full study.
Dr Kartik Venkatesh [kartik.venkatesh@osumc.edu](mailto:kartik.venkatesh@osumc.edu "â€Œ")
[https://www.rti.org/publication/degrees-disclosure-study-womens-covert-use-diaphragm-mira-hiv-prevention-trial-sub-saharan-africa](https://www.rti.org/publication/degrees-disclosure-study-womens-covert-use-diaphragm-mira-hiv-prevention-trial-sub-saharan-africa "smartCard-inline")</t>
  </si>
  <si>
    <t>JHB (lime), PHRU (green), Wits RHI (yellow)</t>
  </si>
  <si>
    <t>2024-05-24T13:32:08.171Z</t>
  </si>
  <si>
    <t>643e9de7d386bc279fd70eed</t>
  </si>
  <si>
    <t>JHB_WCRBara_36_CAPSTONE2</t>
  </si>
  <si>
    <t>https://trello.com/c/lk8hSRve/204-jhbwcrbara36capstone2</t>
  </si>
  <si>
    <t>The primary objective of this study is to evaluate the efficacy of a single, oral dose of baloxavir marboxil compared with placebo by measuring the time to improvement of influenza symptoms in patients with influenza presenting within 48 hours of symptom onset. The study was conducted between January 11, 2017 and April 20, 2018 and was sponsored by Shionogi Inc.
The study record identifier (NCT number) for this study is **NCT02949011**. The study sponsor is **Shionogi Inc.** and the Principal Investigator (PI) is not mentioned in the study record. The actual enrollment for this study was **2184 participants**.
there were 8 study sites in South Africa that participated in the CAPSTONE 2 trial:
Shionogi Research Site Boksburg, Gauteng, South Africa
Shionogi Research Site Johannesburg, Gauteng, South Africa
Shionogi Research Site Pretoria, Gauteng, South Africa
Shionogi Research Site Randburg, Gauteng, South Africa
Shionogi Research Site Tembisa, Gauteng, South Africa
Shionogi Research Site Durban, KwaZulu-Natal, South Africa
Shionogi Research Site Thabazimbi, Limpopo, South Africa
Shionogi Research Site Welkom, Free State, South Africa
According to the clinical trial results published in The Lancet, a total of 278 patients were enrolled in the CAPSTONE 2 trial from South African sites. This represents 6.9% of the total 4,023 participants in the trial.
Aysha Badat
[Retout S, De Buck S, Jolivet S, Duval V, Cosson V. A Pharmacokinetics-Time to Alleviation of Symptoms Model to Support Extrapolation of Baloxavir Marboxil Clinical Efficacy in Different Ethnic Groups with Influenza A or B. Clin Pharmacol Ther. 2022 Aug;112(2):372-381. doi: 10.1002/cpt.2648. Epub 2022 Jun 10.](https://classic.clinicaltrials.gov/ct2/bye/rQoPWwoRrXS9-i-wudNgpQDxudhWudNzlXNiZip9Ei7ym67VZRF8LK48cKCBA6h9Ei4L3BUgWwNG0it. "â€Œ")
[Ison MG, Portsmouth S, Yoshida Y, Shishido T, Mitchener M, Tsuchiya K, Uehara T, Hayden FG. Early treatment with baloxavir marboxil in high-risk adolescent and adult outpatients with uncomplicated influenza (CAPSTONE-2): a randomised, placebo-controlled, phase 3 trial. Lancet Infect Dis. 2020 Oct;20(10):1204-1214. doi: 10.1016/S1473-3099(20)30004-9. Epub 2020 Jun 8.](https://classic.clinicaltrials.gov/ct2/bye/rQoPWwoRrXS9-i-wudNgpQDxudhWudNzlXNiZip9Ei7ym67VZRFnLR0BaKC8A6h9Ei4L3BUgWwNG0it. "â€Œ")
Login details: [https://search.vivli.org/?_gl=1*182ausr*_ga*NDQ3MzIwMTcyLjE2OTk1MzMwOTQ.*_ga_X602XR2LVE*MTY5OTUzMzA5NC4xLjAuMTY5OTUzMzA5NC42MC4wLjA.*_ga_GY0MYYHERQ*MTY5OTUzMzA5NC4xLjAuMTY5OTUzMzA5NC4wLjAuMA..&amp;_ga=2.243215232.308898460.1699533094-447320172.1699533094](https://search.vivli.org/?_gl=1*182ausr*_ga*NDQ3MzIwMTcyLjE2OTk1MzMwOTQ.*_ga_X602XR2LVE*MTY5OTUzMzA5NC4xLjAuMTY5OTUzMzA5NC42MC4wLjA.*_ga_GY0MYYHERQ*MTY5OTUzMzA5NC4xLjAuMTY5OTUzMzA5NC4wLjAuMA..&amp;_ga=2.243215232.308898460.1699533094-447320172.1699533094 "smartCard-inline")                                                                               Username: [rmotana@wrhi.ac.za](mailto:rmotana@wrhi.ac.za "â€Œ")                                                                                        Password: HE2@TCentre</t>
  </si>
  <si>
    <t>JHB (lime), Narrow Consent (blue), Shionogi (green_dark), Study Ongoing (black), Vivli (yellow_light), WCR Bara Clinical Trials unit (orange_light), boehringer-ingelheim (pink_dark)</t>
  </si>
  <si>
    <t>2024-05-28T05:00:00.000Z</t>
  </si>
  <si>
    <t>2024-06-03T16:11:20.558Z</t>
  </si>
  <si>
    <t>64b57acab3522aa407cd779d</t>
  </si>
  <si>
    <t>ABJ017-NCT04466241</t>
  </si>
  <si>
    <t>https://trello.com/c/yEqv5Qmt/221-abj017-nct04466241</t>
  </si>
  <si>
    <t>Combination Therapies to Reduce Carriage of SARS-Cov-2 and Improve Outcome of COVID-19 inÂ Ivory Coast: a Phase Randomized IIb Trial
NCT04466241
PI : Serge EholiÃ©
Number of participants: 294
Study date: 2020-2021</t>
  </si>
  <si>
    <t>Abidjan (pink), Narrow Consent (lime_light)</t>
  </si>
  <si>
    <t>2024-05-24T14:38:44.477Z</t>
  </si>
  <si>
    <t>639720d068098f00a6ead9a3</t>
  </si>
  <si>
    <t>ABJ012- ECPMO</t>
  </si>
  <si>
    <t>https://trello.com/c/k0fFOOvY/96-abj012-ecpmo</t>
  </si>
  <si>
    <t>Effect of cotrimoxazole prophylaxis on malaria occurrence among HIV-infected adults in West Africa: the MALHIV Study
PI : Serge-HoliÃ©
Number of participants: 514
Study date: 2017</t>
  </si>
  <si>
    <t>2024-05-24T14:39:00.797Z</t>
  </si>
  <si>
    <t>643e96cd15b5333da7bd0991</t>
  </si>
  <si>
    <t>JHB_WCRBara_32_ORIGIN</t>
  </si>
  <si>
    <t>https://trello.com/c/olSdFDNU/202-jhbwcrbara32origin</t>
  </si>
  <si>
    <t>Primary objectives: To determine whether insulin glargine-mediated normoglycemia can reduce cardiovascular morbidity and/or mortality in people at high risk for vascular disease with either Impaired Fasting Glucose (IFG), Impaired Glucose Tolerance (IGT) or early type 2 diabetes To determine whether omega-3 fatty acids can reduce cardiovascular mortality in people with IFG, IGT or early type 2 diabetes Number of participants: 12537 Location relevant to South Africa: not clear but they mention Sanofi in Midrand The study was conducted by the Population Health Research Institute in Hamilton, Ontario (Canada). Key variable being measured: Cardiovascular morbidity and/or mortality Principal investigator (PI): Sanofi
PI Aysha Badat WCR Bara Clinical Trial Centre
[https://witsrhi1.box.com/s/q3unrdlbw7e2uhkaonzbywwos134i8v4](https://witsrhi1.box.com/s/q3unrdlbw7e2uhkaonzbywwos134i8v4 "smartCard-inline")
[abadat@witshealth.co.za](mailto:abadat@witshealth.co.za "â€Œ")
[https://clinicaltrials.gov/study/NCT00069784?term=NCT00069784&amp;rank=1](https://clinicaltrials.gov/study/NCT00069784?term=NCT00069784&amp;rank=1 "smartCard-inline")
NCT00069784</t>
  </si>
  <si>
    <t>JHB (lime), Narrow Consent (blue), Sanofi (black_light), Vivli (yellow_light), WCR Bara Clinical Trials unit (orange_light)</t>
  </si>
  <si>
    <t>2024-06-04T12:53:04.397Z</t>
  </si>
  <si>
    <t>642582c8954b5e3754c56fde</t>
  </si>
  <si>
    <t>JHB_PHRU_34_PMTCT_HIV1</t>
  </si>
  <si>
    <t>https://trello.com/c/UfTOu7nB/159-jhbphru34pmtcthiv1</t>
  </si>
  <si>
    <t>James Alasdair McIntyre		NCT00144183	n=407 in 5 locations (only Soweto in JHB)
Study Type :Interventional Â (Clinical Trial)Enrollment :407 participantsAllocation:RandomizedIntervention Model:Parallel AssignmentMasking:None (Open Label)Primary Purpose:PreventionOfficial Title:An Open-label Study Evaluating the Resistance Profile of Single Dose Nevirapine(NVP) When Combined With a 4 or 7 Day Course of CombivirÂ® (ZDV/3TC) Compared to Single Dose Nevirapine for the Prevention of Mother to Child Transmission (pMTCT) of HIV - Treatment Options Preservation Study (T.O.P.S.)Study Start Date :January 2003Actual Primary Completion Date :January 2007Study Completion Date :January 2007
NB: Niel said he would help accessing PHRU datasets</t>
  </si>
  <si>
    <t>JHB (lime), Narrow Consent (blue), PHRU (green), boehringer-ingelheim (pink_dark)</t>
  </si>
  <si>
    <t>2024-01-15T06:00:00.000Z</t>
  </si>
  <si>
    <t>2024-06-04T12:53:21.458Z</t>
  </si>
  <si>
    <t>642582ca778961396cb79bf9</t>
  </si>
  <si>
    <t>JHB_PHRU_27_HVTN703_HPTN081</t>
  </si>
  <si>
    <t>https://trello.com/c/Vt0J7sHL/170-jhbphru27hvtn703hptn081</t>
  </si>
  <si>
    <t>Fatima Laher
NCT02568215
n= 1924 in 23 sites
there were **120** participants in Chris Hani Baragwanath Hospital in the NCT02568215 trial. The Chris Hani Baragwanath Hospital was one of the five study sites in South Africa. The other four study sites were:
- **Agincourt Health and Demographic Surveillance System**
- **KwaZulu-Natal Perinatal HIV Research Unit**
- **Nelson Mandela Academic Hospital**
- **University of KwaZulu-Natal Clinic**</t>
  </si>
  <si>
    <t>Broad Consent (green), JHB (lime), PHRU (green), SCHARP_HPTN (black), SCHARP_HVTN (sky_dark)</t>
  </si>
  <si>
    <t>2024-06-06T05:00:00.000Z</t>
  </si>
  <si>
    <t>2024-05-28T08:27:13.237Z</t>
  </si>
  <si>
    <t>6387252b277e5d0042ec43e9</t>
  </si>
  <si>
    <t>Next steps or application sent/now to follow up</t>
  </si>
  <si>
    <t>63bd2655e69e5100edd97d57</t>
  </si>
  <si>
    <t>JHB_IeDEA_28_ Themba_Lethu</t>
  </si>
  <si>
    <t>https://trello.com/c/MWjhb7eh/99-jhbiedea28-thembalethu</t>
  </si>
  <si>
    <t>1. **Purpose and Establishment**: The Themba Lethu Clinical Cohort was set up to facilitate large patient-level analyses from a single HIV treatment site. Its primary goal is to evaluate National Treatment Guidelines in South Africa and address questions of national and international policy relevance. It integrates economic and epidemiological perspectives into HIV researchâ€‹â€‹â€‹â€‹.
2. **Location and Impact**: The cohort is based at the Helen Joseph Hospital in Johannesburg. It has significantly contributed to understanding the effectiveness of HIV treatment rollout. This contribution is not only local but also extends to broader regional and national evaluations, particularly through collaborations with the International Epidemiologic Database to Evaluate AIDS (IeDEA)â€‹â€‹.
3. **Patient Demographics and Results**: Over time, the Themba Lethu Clinical Cohort has grown significantly. It started with less than 2,000 patients in 2004/2005 and expanded to more than 9,000 patients. The cohort, at one point, included over 13,000 patients, demonstrating positive outcomes in terms of mortality, lost to follow-up (LTF), viral suppression, and other factors over the yearsâ€‹â€‹.
Apply for relevant studies from this network</t>
  </si>
  <si>
    <t>Broad Consent (green), IeDEA (sky_light), JHB (lime)</t>
  </si>
  <si>
    <t>2024-06-05T04:00:00.000Z</t>
  </si>
  <si>
    <t>2024-06-03T10:09:49.057Z</t>
  </si>
  <si>
    <t>642582c9f326ce88f8c2b31b</t>
  </si>
  <si>
    <t>JHB_PHRU_24_HVTN702</t>
  </si>
  <si>
    <t>https://trello.com/c/DQFAzaow/165-jhbphru24hvtn702</t>
  </si>
  <si>
    <t>Glenda Elisabeth Gray		NCT02968849	n= 5407 in 14 sites
Data is publicly available but the location data is not dis-aggregated
Soweto HVTN CRSJohannesburg, Gauteng, South Africa, 1862
Kliptown Soweto CRSJohannesburg, Gauteng, South Africa, 1409
Sponsors and Collaborators
National Institute of Allergy and Infectious Diseases (NIAID)
Sanofi
GlaxoSmithKline
Bill and Melinda Gates Foundation
Investigators
Study Chair:Glenda Gray, MDPerinatal HIV Research Unit (PHRU), Chris Hani Baragwanath Hospital
â€Œ
Mail subject: RE: Large-scale request that came into the Atlas queue: Data Request for HE2AT Center Project</t>
  </si>
  <si>
    <t>Broad Consent (green), JHB (lime), PHRU (green), SCHARP_HVTN (sky_dark)</t>
  </si>
  <si>
    <t>2024-06-06T06:00:00.000Z</t>
  </si>
  <si>
    <t>2024-06-03T10:04:28.158Z</t>
  </si>
  <si>
    <t>642582c9a1538210abe2c097</t>
  </si>
  <si>
    <t>JHB_PHRU_35_HVTN705_HPX2008</t>
  </si>
  <si>
    <t>https://trello.com/c/ZpEOcV8X/162-jhbphru35hvtn705hpx2008</t>
  </si>
  <si>
    <t>HVTN 705/HPX2008 â€“ Soweto-Bara Clinical Research Site	 Fatima Laher		NCT03060629	HVTN 705/HPX2008
Trial title: A Study to Assess the Efficacy of a Heterologous Prime/Boost Vaccine Regimen of Ad26.Mos4.HIV and Aluminum Phosphate-Adjuvanted Clade C gp140 in Preventing Human Immunodeficiency Virus (HIV) -1 Infection in Women in Sub-Saharan Africa
Study status: Completed
Study type: Phase 2b, randomized, double-blind, placebo-controlled
Study objective: To assess the preventive vaccine efficacy (VE) of a heterologous prime/boost vaccine regimen of Ad26.Mos4.HIV and aluminum phosphate-adjuvanted Clade C gp140 in preventing HIV-1 infection in HIV-seronegative women residing in sub-Saharan Africa.
Study population: HIV-seronegative women aged 18 to 45 years who were at high risk of HIV infection.
Interventions: Participants were randomly assigned to receive one of two treatments:
Vaccine regimen: Ad26.Mos4.HIV at Months 0 and 2, followed by aluminum phosphate-adjuvanted Clade C gp140 at Month 4
Placebo
Primary outcome: VE of the vaccine regimen against HIV-1 infection
Secondary outcomes:
Safety
Immunogenicity
The trial was conducted in 11 countries in sub-Saharan Africa and enrolled over 2,600 participants. The results of the trial showed that the vaccine regimen did not meet its primary endpoint of preventing HIV-1 infection. However, the vaccine regimen was found to be safe and well-tolerated.
The full results of the trial were published in the journal The Lancet in 2021. The study was funded by Janssen Vaccines &amp; Prevention B.V., part of the Janssen Pharmaceutical Companies of Johnson &amp; Johnson.
The Soweto-Bara Clinical Research Site was one of the 11 study sites in sub-Saharan Africa that participated in the HVTN 705/HPX2008 trial. The site was located in Soweto, South Africa, and was led by Dr. Fatima Laher. The site enrolled a total of 200 participants in the trial.
[https://avac.org/trial/hvtn-705-hpx2008-cr108263-imbokodo/](https://avac.org/trial/hvtn-705-hpx2008-cr108263-imbokodo/ "smartCard-inline")</t>
  </si>
  <si>
    <t>2024-05-28T08:26:58.873Z</t>
  </si>
  <si>
    <t>63dcc71ca38ed77cc92d04ef</t>
  </si>
  <si>
    <t>JHB_PHRU_31_VOICE_PMTCT</t>
  </si>
  <si>
    <t>https://trello.com/c/nQPDelPG/124-jhbphru31voicepmtct</t>
  </si>
  <si>
    <t>VOICE trial and some PMTCT data
The VOICE PMTCT trial was a clinical research study led by Dr. Sharon Hillier that aimed to evaluate different methods of preventing mother-to-child transmission of HIV in sub-Saharan Africa. PMTCT stands for "Prevention of Mother-To-Child Transmission" of HIV.
The trial was conducted between 2009 and 2012 and enrolled 5,029 HIV-negative women from South Africa, Uganda, and Zimbabwe who were at high risk of acquiring HIV. The participants were randomly assigned to one of five study groups: three groups received different HIV prevention methods (daily oral tablets of either tenofovir, Truvada, or tenofovir plus emtricitabine), one group received a placebo pill, and one group received a vaginal gel containing tenofovir.
The primary objective of the trial was to determine the safety and efficacy of these methods in preventing HIV transmission from mother to child during breastfeeding. However, the trial results showed that none of the methods tested were effective in reducing HIV transmission rates.
Despite these disappointing results, the VOICE PMTCT trial provided valuable insights into the challenges of implementing effective HIV prevention strategies in resource-limited settings. Dr. Hillier and her team continue to conduct important research on HIV prevention and treatment, including ongoing studies of long-acting antiretroviral drugs and novel strategies for preventing HIV transmission.
â€Œ
NB: Thes requires HREC approval for secondary analysis. This request applies to VOICE, HOPE and ASPIRE</t>
  </si>
  <si>
    <t>Broad Consent (green), JHB (lime), MTN-SCHARP (green_light), Networks (sky_dark), Wits RHI (yellow)</t>
  </si>
  <si>
    <t>2024-04-29T06:00:00.000Z</t>
  </si>
  <si>
    <t>2024-06-03T10:19:50.519Z</t>
  </si>
  <si>
    <t>642582c88a9183f247db789d</t>
  </si>
  <si>
    <t>JHB_PHRU_29_HVTN503_Soweto</t>
  </si>
  <si>
    <t>https://trello.com/c/7I2GzT28/160-jhbphru29hvtn503soweto</t>
  </si>
  <si>
    <t>Glenda Elisabeth Gray		NCT00413725
Locations
South AfricaSoweto HVTN CRSJohannesburg, Gauteng, South Africa, 1862MedCRU CRSPretoria, Gauteng, South Africa, 0204eThekwini CRSDurban, KwaZulu-Natal, South Africa, 4001Emavundleni CRSCape Town, Western Cape Province, South Africa, 7750CAPRISA Aurum CRSKlerksdorp, South Africa, 2571
Sponsors and Collaborators
National Institute of Allergy and Infectious Diseases (NIAID)
HIV Vaccine Trials Network
Investigators
Study Chair:Glenda Gray, MDChris Hani Baragwanath HospitalStudy Chair:James Kublin, MD, MPHFred Hutchinson Cancer Center</t>
  </si>
  <si>
    <t>2024-06-03T10:20:11.327Z</t>
  </si>
  <si>
    <t>6554ca884683e5ee58b90283</t>
  </si>
  <si>
    <t>JHB_WitsRHI_40_ASPIRE</t>
  </si>
  <si>
    <t>https://trello.com/c/fnTZsiqe/230-jhbwitsrhi40aspire</t>
  </si>
  <si>
    <t>Added as a new study based on the discussions with Ariane:
[https://www.mtnstopshiv.org/news/mtn-020-aspire](https://www.mtnstopshiv.org/news/mtn-020-aspire "smartCard-inline")
he MTN-020 (ASPIRE) trial was a Phase 3, multi-site, randomized, double-blind, placebo-controlled clinical trial designed to evaluate the safety and efficacy of the dapivirine vaginal ring (VR) for the prevention of HIV-1 infection in healthy, sexually active, HIV-negative women. The study aimed to determine the effectiveness of a dapivirine (25 mg) silicone elastomer matrix VR, inserted once every 4 weeks, in preventing HIV-1 infection and to assess its safety compared to a placebo VR.
A total of 2,629 participants were enrolled and randomized to receive either the dapivirine VR or a placebo VR. Participants used the VRs until 120 HIV-1 seroconversions were observed, with a minimum expected use of 12 months. The trial completed follow-up on June 25, 2015, and primary results were presented in February 2016, with the primary manuscript published in the New England Journal of Medicine.
**Primary Results**
The trial demonstrated that the monthly dapivirine VR was safe and effective for HIV prevention. There were no significant differences in primary safety endpoints between the study arms, and sexually transmitted infections occurred at similar rates. A total of 168 incident HIV-1 infections occurred during the product use period, with a 27% relative reduction in HIV-1 acquisition in the dapivirine ring arm compared to the placebo arm.
Subgroup analyses showed that HIV-1 protection differed significantly by age, with women â‰¥25 years of age demonstrating 61% protection, while those &lt;25 years of age had no statistically significant reduction in HIV-1 incidence. Further analyses indicated that lack of HIV-1 protection and lower adherence were limited to participants â‰¤21 years of age.
**Study Details**
- **Protocol Chair(s):** Jared Baeten (Protocol Chair), Thesla Palanee-Phillips (Protocol Co-Chair)
- **Protocol Title:** A Multi-Center, Randomized, Double-Blind, Placebo-Controlled Phase 3 Safety and Effectiveness Trial of a Vaginal Matrix Ring Containing Dapivirine for the Prevention of HIV-1 Infection in Women
- **DAIDS Protocol ID:** 11840
- **Status:** Participants off Study and Primary Analysis Completed
- **Formulation:** Vaginal Ring
- **Drug:** Dapivirine, Placebo
- **Study Focus/Product Administration:** Vaginal
- **Study Type:** Behavioral, Efficacy, Safety
- **Study Phase:** Phase III
- **Countries:** Malawi, South Africa, Uganda, Zimbabwe
- **Population:** Women (cisgender women, nonâ€transgender women)
- **Funder(s):** Division of AIDS, US National Institute of Allergy and Infectious Diseases, US National Institutes of Health
- **Sponsor(s):** IPM
- **Other Study Info:** Phase 3, multi-site, two-arm, randomized (1:1), double-blind, placebo-controlled trial
This summary provides an overview of the MTN-020 (ASPIRE) trial, focusing on its objectives, primary results, and key details.</t>
  </si>
  <si>
    <t>Broad Consent (green), DSA! (pink), JHB (lime), MTN-SCHARP (green_light), Narrow Consent (blue), Wits RHI (yellow)</t>
  </si>
  <si>
    <t>2024-06-03T10:00:19.410Z</t>
  </si>
  <si>
    <t>6389dde943653f0151fc31ac</t>
  </si>
  <si>
    <t>JHB_WitsRHI_011_ECHO</t>
  </si>
  <si>
    <t>https://trello.com/c/eVdq3LSC/4-jhbwitsrhi011echo</t>
  </si>
  <si>
    <t>Clinical Trial Number: NCT02550067
Study Title: The Evidence for Contraceptive Options and HIV Outcomes Trial (ECHO)
Principal Investigator: Thesla Pelanee
Sponsor: FHI 360
Collaborators:
- University of Washington
- Wits Reproductive Health and HIV Institute
- World Health Organization
- Madibeng Centre for Research
- Maternal Adolescent and Child Health Research
- Qhakaza Mbokodo Research Clinic
- The Aurum Institute NPC
- Effective Care Research Unit
- Emavundleni Research Centre
- Setshaba Research Centre
- University of North Carolina, Chapel Hill
- Family Life Association of Swaziland
- ICAP Columbia University
- Kenya Medical Research Institute
Responsible Party: FHI 360
Study Type: Interventional Clinical Trial
Enrollment: 7,830 participants
Study Design: Participants are randomly assigned to different treatment groups in a parallel manner. The study is open-label, meaning that both the participants and researchers are aware of the treatment group assignments. The primary purpose of the study is to compare HIV incidence and contraceptive benefits among women using Depot Medroxyprogesterone Acetate (DMPA), Levonorgestrel (LNG) Implant, and Copper Intrauterine Devices (IUDs).
Key Dates:
- Study started on December 14, 2015
- Primary completion date: October 31, 2018
- Study completed on October 31, 2018
Study Location: Wits Reproductive Health and HIV Institute (WRHI), Johannesburg, South Africa</t>
  </si>
  <si>
    <t>DSA! (pink), JHB (lime), Narrow Consent (blue), SSA approval (sky), Wits RHI (yellow)</t>
  </si>
  <si>
    <t>2023-10-30T06:00:00.000Z</t>
  </si>
  <si>
    <t>2024-05-24T13:40:32.165Z</t>
  </si>
  <si>
    <t>638726fbabcb3902e108d16e</t>
  </si>
  <si>
    <t>confirmed eligibility/start DTA Process</t>
  </si>
  <si>
    <t>6389ddefff69bb0134f7ed1e</t>
  </si>
  <si>
    <t>JHB_WitsRHI_014_FACTS001</t>
  </si>
  <si>
    <t>https://trello.com/c/tOqbi804/5-jhbwitsrhi014facts001</t>
  </si>
  <si>
    <t>Study title: A Phase III, Multi-Centre, Randomised Controlled Trial to Assess the Safety and Effectiveness of the Vaginal Microbicide 1% Tenofovir Gel in the Prevention of Human Immunodeficiency Virus Type 1 Infection inÂ  Young Women, and to Examine Effects of the Microbicide on the Incidence of Herpes Simplex Virus Type 2 Infection (FACTS)
N=2200
â€Œ
Manuscript/Presentation Concept Proposal for the HEAT Center Send to Sinead 11/28
The FACTS 001 was launched in October 2011, and will enrol a minimum of 2,200 HIV-uninfected women aged 18-30 at nine clinical trial sites across South Africa.
The FACTS 001 study was conducted to evaluate the efficacy of a vaginal microbicide gel containing 1% tenofovir in preventing HIV-1 acquisition in women. The study was conducted between 2005 and 2010 in South Africa. The study found that the tenofovir gel reduced HIV-1 acquisition by 39% overall and by 54% in women with high adherence. The study concluded that the tenofovir gel could be an effective method for preventing HIV-1 acquisition in women.
[FACTS 001 Study | FACTS Consortium (wordpress.com)](https://factsconsortium.wordpress.com/facts-001-study/#:~:text=The%20FACTS%20001%20study%20is%20a%20phase%20III%2C,virus%20%28HSV-2%29%2C%20the%20virus%20that%20causes%20genital%20herpes. "â€Œ")
NCT01386294
[Safety and Effectiveness of Tenofovir Gel in the Prevention of Human Immunodeficiency Virus (HIV-1) Infection in Women and the Effects of Tenofovir Gel on the Incidence of Herpes Simplex Virus (HSV-2) Infection - Full Text View - ClinicalTrials.gov](https://clinicaltrials.gov/ct2/show/NCT01386294?term=FACTS001&amp;draw=2&amp;rank=2 "â€Œ")
The study will evaluate several secondary endpoints that bear directly on potential risks and benefits of vaginal tenofovir gel use. These include incidence of HIV-1 infection, incidence of pregnancy loss, prematurity, low birth weight, and major and minor congenital anomalies. All women will be evaluated for the rates of adverse events and the rate of HIV seroconversion</t>
  </si>
  <si>
    <t>2023-11-30T05:00:00.000Z</t>
  </si>
  <si>
    <t>2024-06-03T10:33:32.485Z</t>
  </si>
  <si>
    <t>63971fd1088e70007678624e</t>
  </si>
  <si>
    <t>ABJ010- STGTTB</t>
  </si>
  <si>
    <t>https://trello.com/c/4Wt6M1gx/94-abj010-stgttb</t>
  </si>
  <si>
    <t>Systematic or Test-Guided Treatment for Tuberculosis in HIV-Infected Adults
PI : Xavier Blanc
Associated clinical trils number : NCT02057796
Number of participants: 522
Study date: 2020</t>
  </si>
  <si>
    <t>2024-06-03T05:00:00.000Z</t>
  </si>
  <si>
    <t>2024-05-24T14:21:59.966Z</t>
  </si>
  <si>
    <t>6380c08ad25af001eaeed102</t>
  </si>
  <si>
    <t>Entering into DTA/follow up with Wits Legal</t>
  </si>
  <si>
    <t>64b579ab2719bb997f87aa6a</t>
  </si>
  <si>
    <t>Situational Analysis of HIV-related Disability in the Context of Ivory Coast</t>
  </si>
  <si>
    <t>https://trello.com/c/UJodbhKr/220-situational-analysis-of-hiv-related-disability-in-the-context-of-ivory-coast</t>
  </si>
  <si>
    <t>2024-05-24T14:22:16.785Z</t>
  </si>
  <si>
    <t>639719e722035d041cc0dc0f</t>
  </si>
  <si>
    <t>ABJ002- CGSATIS</t>
  </si>
  <si>
    <t>https://trello.com/c/xVh4ximV/86-abj002-cgsatis</t>
  </si>
  <si>
    <t>CD4-guided structured antiretroviral treatment interruption strategy in HIV-infected adults in west Africa (Trivacan ANRS 1269 trial): a randomised trial
PI  Xavier Anglaret
Associated clinical trials number NCT00158405
Number of participants: 326
Study date: 2006</t>
  </si>
  <si>
    <t>2024-05-24T14:22:39.471Z</t>
  </si>
  <si>
    <t>646c856cfab2661e507f8e94</t>
  </si>
  <si>
    <t>CIV059 - DITRAME PLUS ANRS 1201/1202 Cohort : open label intervention (DITRAME)</t>
  </si>
  <si>
    <t>https://trello.com/c/T6tuoBkb/214-civ059-ditrame-plus-anrs-1201-1202-cohort-open-label-intervention-ditrame</t>
  </si>
  <si>
    <t>DITRAME PLUS ANRS 1201/1202 Cohort :Â  open label intervention (DITRAME)		
Ivory Coast	
Francois Dabis
Francois Dabis: francois.dabis@u-bordeaux.fr"
N enrolled: 1144
(MCF direct contact with PI)</t>
  </si>
  <si>
    <t>2024-05-24T14:22:56.088Z</t>
  </si>
  <si>
    <t>63971ae2c0eeb50059117c61</t>
  </si>
  <si>
    <t>ABJ003- VOLTART</t>
  </si>
  <si>
    <t>https://trello.com/c/6rKeUBJ3/87-abj003-voltart</t>
  </si>
  <si>
    <t>Increasing rate of TAMs and etravirine resistance in HIV-1-infected adults between 12 and 24 months of treatment: the VOLTART cohort study in CÃ´te d'Ivoire, West Africa
PI: Xavier Anglaret
Number of participants: 1573
Study date: 2013</t>
  </si>
  <si>
    <t>2024-05-24T14:23:09.223Z</t>
  </si>
  <si>
    <t>6389f4d1d554f40505c6431d</t>
  </si>
  <si>
    <t>ABJ001- EATTB</t>
  </si>
  <si>
    <t>https://trello.com/c/Pdpb9Tcs/8-abj001-eattb</t>
  </si>
  <si>
    <t>Early Antiretroviral Treatment and/or Early Isoniazid Prophylaxis Against Tuberculosis in HIV-infected Adults - ANRS 12136 TEMPRANO
PI Xavier Anglaret
Associated clinical trials number : NCT00495651
Number of participants: 2073
Study date: 2015</t>
  </si>
  <si>
    <t>2024-05-24T14:23:28.334Z</t>
  </si>
  <si>
    <t>63971eabecaaaa045de52393</t>
  </si>
  <si>
    <t>ABJ009- AEBFEC</t>
  </si>
  <si>
    <t>https://trello.com/c/JkY7q4Dt/93-abj009-aebfec</t>
  </si>
  <si>
    <t>Acceptability of exclusive breast-feeding with early cessation to prevent HIV transmission through breast milk, ANRS 1201/1202 Ditrame Plus, Abidjan, CÃ´te d'Ivoire
PI : Renaud Becquet
Francois Dabis
Identification : ARNS 1201/1202 Ditrame Plus
Number of participants: 643
Study date: 2008</t>
  </si>
  <si>
    <t>2024-05-24T14:23:43.904Z</t>
  </si>
  <si>
    <t>63971da231b299010f70917e</t>
  </si>
  <si>
    <t>ABJ007-ISM</t>
  </si>
  <si>
    <t>https://trello.com/c/hxdH6hCo/91-abj007-ism</t>
  </si>
  <si>
    <t>Incidence of serious morbidity in HIV-infected adults on antiretroviral therapy in a West African care centre, 2003-2008
PI : Xavier Anglaret
Number of participants: 1008
Study date: 2013</t>
  </si>
  <si>
    <t>2024-05-24T14:24:19.310Z</t>
  </si>
  <si>
    <t>64b57b7b31a02e2d270ed581</t>
  </si>
  <si>
    <t>ABJ018- Systematic Empirical vs. Test-guided Anti-TB Treatment Impact in Severely Immunosuppressed HIV-infected Adults Initiating ART With CD4 Cell Counts &lt;100/mm3</t>
  </si>
  <si>
    <t>https://trello.com/c/e9n2do1L/222-abj018-systematic-empirical-vs-test-guided-anti-tb-treatment-impact-in-severely-immunosuppressed-hiv-infected-adults-initiating</t>
  </si>
  <si>
    <t>Systematic Empirical vs. Test-guided Anti-TB Treatment Impact in Severely ImmunosuppressedÂ HIV-infected Adults Initiating ART With CD4 Cell Counts &lt;100/mm3
NCT02057796
N=1050
PI : FranÃ§ois-Xavier Blanc / Maryline BONNET</t>
  </si>
  <si>
    <t>2024-05-24T14:24:33.792Z</t>
  </si>
  <si>
    <t>639721474c9d690230346dde</t>
  </si>
  <si>
    <t>ABJ013-MCCCD</t>
  </si>
  <si>
    <t>https://trello.com/c/wNWVf8m0/97-abj013-mcccd</t>
  </si>
  <si>
    <t>Maternal CD4+ cell count decline after interruption of antiretroviral prophylaxis for the prevention of mother-to-child transmission of HIV
N=1,393
PI : Didier Koffi Ekouevi
Added contact to email sent recently:
[malka.schlesinger@gmail.com](mailto:malka.schlesinger@gmail.com "â€Œ")</t>
  </si>
  <si>
    <t>2024-05-24T14:25:35.855Z</t>
  </si>
  <si>
    <t>6397206c5dac3405e5d1abed</t>
  </si>
  <si>
    <t>ABJ011- IRFSAE</t>
  </si>
  <si>
    <t>https://trello.com/c/pcpjfT17/95-abj011-irfsae</t>
  </si>
  <si>
    <t>Incidence and risk factors of severe adverse events with nevirapine-based antiretroviral therapy in HIV-infected women. MTCT-Plus program, Abidjan, CÃ´te d'Ivoire
Number of participants: 530
Study date: 2010
PI: Didier Koffi Ekouevi / Francois Dabis
Added contact to email sent recently:
[aristotanon@yahoo.fr](mailto:aristotanon@yahoo.fr "â€Œ")</t>
  </si>
  <si>
    <t>2024-05-24T14:25:59.241Z</t>
  </si>
  <si>
    <t>64b5799bdd014c3c90343b1a</t>
  </si>
  <si>
    <t>ABJ016 - Situational Analysis of HIV-related Disability in the Context of Ivory Coast</t>
  </si>
  <si>
    <t>https://trello.com/c/vcov6EhP/219-abj016-situational-analysis-of-hiv-related-disability-in-the-context-of-ivory-coast</t>
  </si>
  <si>
    <t>Situational Analysis of HIV-related Disability in the Context of Ivory Coast
N=500
NCT05199831
PI : Pierre Debeaudrap</t>
  </si>
  <si>
    <t>2024-05-24T14:21:30.130Z</t>
  </si>
  <si>
    <t>642582c64f1b51898d67f9f4</t>
  </si>
  <si>
    <t>JHB_DPHRU_013_BMDCART</t>
  </si>
  <si>
    <t>https://trello.com/c/UVydeAgp/148-jhbdphru013bmdcart</t>
  </si>
  <si>
    <t>Title: Bone Mineral Density Changes Amongst Combination Antiretroviral Therapy
CA: Matthew M [mhamill6@jhu.edu](mailto:mhamill6@jhu.edu "â€Œ")
Co-author: Kate Ward [kw@mrc.soton.ac.uk](mailto:kw@mrc.soton.ac.uk "â€Œ")
NCT number: [https://www.ncbi.nlm.nih.gov/pmc/articles/PMC7202419/](https://www.ncbi.nlm.nih.gov/pmc/articles/PMC7202419/ "smartCard-inline") 	I
NB: think this is eligible. They had 247 pts in Soweto, but I'm not sure if only 110 of the total were followed up for 2 years.
to check Linked to Shane Norris DPHRUâ€¦.advised to check with UK PI this is an independent study from the cohort
Data availability:</t>
  </si>
  <si>
    <t>DPHRU (black_light), JHB (lime), Narrow Consent (blue)</t>
  </si>
  <si>
    <t>2024-06-04T12:42:29.622Z</t>
  </si>
  <si>
    <t>645269c9bee3ad41053c8d52</t>
  </si>
  <si>
    <t>Entering into DTA/follow up with data provider</t>
  </si>
  <si>
    <t>63971ce468f9f800238b6c0c</t>
  </si>
  <si>
    <t>ABJ005- MLTF</t>
  </si>
  <si>
    <t>https://trello.com/c/GiRhm0dh/89-abj005-mltf</t>
  </si>
  <si>
    <t xml:space="preserve">Medium and long-term follow-up after ST-segment elevation myocardial infarction in a sub-Saharan Africa population: a prospective cohort study
PI : Hermann Yao </t>
  </si>
  <si>
    <t>2024-05-24T14:21:03.289Z</t>
  </si>
  <si>
    <t>642582cd1ec67ed0cc4147c6</t>
  </si>
  <si>
    <t>JHB_MTN-SCHARP_012_CHARISMA</t>
  </si>
  <si>
    <t>https://trello.com/c/1TixMr8J/183-jhbmtn-scharp012charisma</t>
  </si>
  <si>
    <t>Community Health clinic model for Agency in Relationships and Safer Microbicide
Adherence (CHARISMA) Expansion Study
CHARISMA - WRHI
Thesla Palanee
Other PI listed on CT: Elizabeth Montgomery, PhD, MHSRTI International
NCT04092114 (n.b: This NCT is for CHARISMA Expanded study. â€œThis study is an expansion of the CHARISMA intervention pilot study which was appended to the Microbicide Trials Network (MTN)-025 HOPE studyâ€)
n=407</t>
  </si>
  <si>
    <t>DSA! (pink), IS (orange_dark), JHB (lime), MTN-SCHARP (green_light), Narrow Consent (blue), SSA approval (sky), Wits RHI (yellow)</t>
  </si>
  <si>
    <t>2024-06-07T06:00:00.000Z</t>
  </si>
  <si>
    <t>2024-06-04T12:35:00.337Z</t>
  </si>
  <si>
    <t>63971e0cdf139801ef05bf77</t>
  </si>
  <si>
    <t>ABJ008- Burden of comorbidities in heart failure patients hospitalized at the Abidjan Heart Institute (BCHFP) / NARROW CONSENT</t>
  </si>
  <si>
    <t>https://trello.com/c/eTb0YEJV/92-abj008-burden-of-comorbidities-in-heart-failure-patients-hospitalized-at-the-abidjan-heart-institute-bchfp-narrow-consent</t>
  </si>
  <si>
    <t>Burden of comorbidities in heart failure patients hospitalized at the Abidjan Heart Institute
N=302
PI : Anicet Adoubi
CA:
Institution:</t>
  </si>
  <si>
    <t>emerenceokoue1, lisavanaardenne</t>
  </si>
  <si>
    <t>2024-05-28T11:05:52.233Z</t>
  </si>
  <si>
    <t>6380c0a7eeb7b701eb3bc04b</t>
  </si>
  <si>
    <t>Transfer of data in progress (UCT)</t>
  </si>
  <si>
    <t>63971d427c1cc4018c6898d1</t>
  </si>
  <si>
    <t>ABJ006-MEAKI / NARROW CONSENT</t>
  </si>
  <si>
    <t>https://trello.com/c/1YspJEzv/90-abj006-meaki-narrow-consent</t>
  </si>
  <si>
    <t>Mortality in the elderly with acute kidney injury in an internal medicine department in Abidjan, Cote D'Ivoire
N=107
#### PI :  Hubert KouamÃ© Yao [yaohubert@yahoo.fr](mailto:yaohubert@yahoo.fr "â€Œ")
#### Problem: No location or date information available for this study</t>
  </si>
  <si>
    <t>Abidjan (pink), Narrow Consent (lime_light), Problem (red_dark)</t>
  </si>
  <si>
    <t>2024-05-30T12:24:05.709Z</t>
  </si>
  <si>
    <t>642582c80386a70aaf599a9a</t>
  </si>
  <si>
    <t>JHB_SCHARP_HVTN 704/HPTN 085_22_VRC01_Phase2b</t>
  </si>
  <si>
    <t>https://trello.com/c/sYRNIsYY/158-jhbscharphvtn-704-hptn-08522vrc01phase2b</t>
  </si>
  <si>
    <t>Study title: A phase 2b study to evaluate the safety and efficacy of VRC01 broadly neutralizing monoclonal antibody in reducing acquisition of HIV-1 infection among men and transgender persons who have sex with men
HVTN 704/HPTN 085:  Penny Moore
NCT02568215	Same as JHB\_Lynn\_1051 - 4/21 sites in Joburg with 1924 participants enrolled. Likely an include. 21 sites in and outside JHB leading to ave of N=91
Study Type :Interventional Â (Clinical Trial)Actual Enrollment :1924 participantsAllocation:RandomizedIntervention Model:Parallel AssignmentMasking:Quadruple (Participant, Care Provider, Investigator, Outcomes Assessor)Primary Purpose:PreventionOfficial Title:A Phase 2b Study to Evaluate the Safety and Efficacy of VRC01 Broadly Neutralizing Monoclonal Antibody in Reducing Acquisition of HIV-1 Infection in Women in Sub-Saharan AfricaActual Study Start Date :May 2016Actual Primary Completion Date :March 3, 2021Actual Study Completion Date :March 3, 2021
NB: data available on: [https://atlas.scharp.org/cpas/project/HVTN%20Public%20Data/HVTN%20704%20HPTN%20085%20and%20HVTN%20703%20HPTN%20081%20AMP/begin.view](https://atlas.scharp.org/cpas/project/HVTN%20Public%20Data/HVTN%20704%20HPTN%20085%20and%20HVTN%20703%20HPTN%20081%20AMP/begin.view "smartCard-inline")</t>
  </si>
  <si>
    <t>Broad Consent (green), JHB (lime), SCHARP_HPTN (black), SCHARP_HVTN (sky_dark)</t>
  </si>
  <si>
    <t>2024-04-22T05:00:00.000Z</t>
  </si>
  <si>
    <t>2024-05-30T07:42:36.003Z</t>
  </si>
  <si>
    <t>6385d366c017eb02f56abea8</t>
  </si>
  <si>
    <t>Waiver of consent in place/ send documentation to Wits HREC</t>
  </si>
  <si>
    <t>63db91f1bf0995109cca4c31</t>
  </si>
  <si>
    <t>JHB_VIDA_008_HCWCovidStudy</t>
  </si>
  <si>
    <t>https://trello.com/c/CPxuvcps/105-jhbvida008hcwcovidstudy</t>
  </si>
  <si>
    <t>Study title: Severe Acute Respiratory Syndrome Coronavirus 2 Infection Among Healthcare Workers in South Africa: A Longitudinal Cohort Study
â€Œ
This study investigated severe acute respiratory syndrome coronavirus 2 (SARS-CoV-2) infections in a cohort of 396 healthcare workers (HCWs) from 5 departments at Chris Hani Baragwanath Hospital, South Africa from April to September 2020. The study found that overall, 34.6% of HCWs had polymerase chain reactionâ€“confirmed SARS-CoV-2 infection (132.1 [95% confidence interval, 111.8â€“156.2] infections per 1000 person-months); an additional 27 infections were identified by serology. HCWs in the internal medicine department had the highest rate of infection (61.7%). Among polymerase chain reactionâ€“confirmed cases, 10.4% remained asymptomatic, 30.4% were presymptomatic, and 59.3% were symptomatic. The study concluded that understanding HCWsâ€™ SARS-CoV-2 exposure and risk of infection is critical for characterizing virus transmission patterns, risk factors for infection, and to inform the effectiveness of infection prevention and control practices.
[Severe Acute Respiratory Syndrome Coronavirus 2 Infection Among Healthcare Workers in South Africa: A Longitudinal Cohort Study - PMC (nih.gov)](https://www.ncbi.nlm.nih.gov/pmc/articles/PMC8135922/ "â€Œ")</t>
  </si>
  <si>
    <t>JHB (lime), Narrow Consent (blue), SSA approval (sky), VIDA (red)</t>
  </si>
  <si>
    <t>2024-05-30T11:21:13.221Z</t>
  </si>
  <si>
    <t>6387290816c8c30500490c14</t>
  </si>
  <si>
    <t>Batch to send to Ethics for notifications</t>
  </si>
  <si>
    <t>6390a90f2fb3ce026cebf2cb</t>
  </si>
  <si>
    <t>JHB_VIDA_007_ChadOx1.</t>
  </si>
  <si>
    <t>https://trello.com/c/995m9KIb/9-jhbvida007chadox1</t>
  </si>
  <si>
    <t xml:space="preserve">An adaptive phase I/II randomized placebo-controlled trial to determine the safety, immunogenicity, and efficacy of the non-replicating ChadOx1 SARSCoV-2 vaccine in South African adults living without HIV and the safety and immunogenicity in adults living with HIV
Clinical trials number: NCT04444674
Number enrolled: 2130 in Johannesburg
</t>
  </si>
  <si>
    <t>Broad Consent (green), JHB (lime), VIDA (red)</t>
  </si>
  <si>
    <t>2024-05-30T11:21:31.989Z</t>
  </si>
  <si>
    <t>63db922a293cd5c1e1646edf</t>
  </si>
  <si>
    <t>Pfizer GBS studies: 28OB, GBS-COP (possible) : VIDA</t>
  </si>
  <si>
    <t>https://trello.com/c/UF6wBRKU/106-pfizer-gbs-studies-28ob-gbs-cop-possible-vida</t>
  </si>
  <si>
    <t>Pfizer has conducted multiple studies related to Guillain-BarrÃ© Syndrome (GBS), including the 28OB and GBS-COP VIDA studies.
The 28OB study was a phase III, randomized, double-blind, placebo-controlled trial designed to evaluate the safety and efficacy of a candidate vaccine for Group B Streptococcus (GBS) in pregnant women. GBS is a common bacterium that can cause serious infections in newborns, including sepsis and meningitis. The study included over 3,600 pregnant women from 18 countries, and found that the vaccine was effective in preventing GBS infection in infants.
The GBS-COP VIDA study was a retrospective cohort study that evaluated the risk of GBS following vaccination with the Pfizer-BioNTech COVID-19 vaccine. The study analyzed data from over 100 million vaccinated individuals in the United States, and found that the risk of GBS following vaccination with the Pfizer-BioNTech COVID-19 vaccine was very low, with an estimated 1-2 cases per million vaccinated individuals. The study concluded that the benefits of vaccination against COVID-19 far outweigh the risks of GBS
28OB took place in Wits Reproductive Health and HIV InstituteJohannesburg, Gauteng, South Africa, 2001Respiratory and Meningeal Pathogens Research Unit (RMPRU)Soweto, Gauteng, South Africa, 1862Empilweni Services and Research Unit (ESRU)Coronationville, Johannesburg, South Africa, 2093Charlotte Maxeke Johannesburg Academic HospitalParktown, Johannesburg, South Africa, 2196</t>
  </si>
  <si>
    <t>2024-05-30T11:21:48.119Z</t>
  </si>
  <si>
    <t>63f863f77131d67592920b44</t>
  </si>
  <si>
    <t>JHB_Aurum_009_Tholimpilo</t>
  </si>
  <si>
    <t>https://trello.com/c/wWLpHrNT/126-jhbaurum009tholimpilo</t>
  </si>
  <si>
    <t>Study title: An Evaluation of Strategies to Accelerate Entry-into-care following HIV Diagnosis
among Adults in Gauteng and Limpopo Provinces, South Africa
N=1250
â€Œ
Dear all,
â€Œ
I wanted to share a summary of our recent productive meeting with Salome Charalambous and Chris Hoffman, where we discussed the Heat Center project. The project aims to understand the relationship between climate data (primarily temperature) and health data in Johannesburg and Abhijan. The project requires clinical trial and cohort data sets from 2000-2022 with geolocation information, demographic information, lab data, and blood samples.
â€Œ
During the meeting, we covered the following topics:
1. The Heat Center project: I introduced the project, outlining its main aims and the data needed.
2. Finding relevant studies: Salome and I discussed potential studies that might contribute to the project, including TB trials (especially Rifaquin), COVID trials, and HIV trials.
3. Data sharing and governance: We also talked about the process of obtaining and sharing the data, such as legal agreements and privacy assurances.
â€Œ
The way forward for this project is as follows:
1. Identify studies with relevant data: Salome and I will work together to find suitable databases before proceeding further with the project.
2. Data sharing process: We will engage with our legal teams and data holders to establish data transfer or data sharing agreements.
3. Address potential issues: The team will discuss any concerns, such as capturing addresses electronically, with the data sharing committee before making any decisions.
â€Œ
As an action item, I will send the presentation to Salome for the upcoming data governance meeting. In the meantime, Salome will consult with her team to determine which databases would be most suitable for the project. An intern will also be involved in moving things forward.
â€Œ
Thank you all for your commitment to this project. We look forward to working together to achieve our goals and will keep you updated on our progress.
Best regards,</t>
  </si>
  <si>
    <t>Aurum (red_light), JHB (lime), Narrow Consent (blue), SSA approval (sky), Share publication with Data provider before publishing (yellow_light)</t>
  </si>
  <si>
    <t>craigparker15, lisavanaardenne</t>
  </si>
  <si>
    <t>2023-10-27T05:00:00.000Z</t>
  </si>
  <si>
    <t>2024-06-03T16:21:53.422Z</t>
  </si>
  <si>
    <t>65faf4f2402701c2df6e6bbf</t>
  </si>
  <si>
    <t>Data transfered to UCT</t>
  </si>
  <si>
    <t>645b7bcb4bdea56ef370ad2e</t>
  </si>
  <si>
    <t>JHB_ACTG_021_A5199</t>
  </si>
  <si>
    <t>https://trello.com/c/wYV8jSDS/208-jhbactg021a5199</t>
  </si>
  <si>
    <t>Study title: International Neurological Study
Improved neuropsychological and neurological functioning across three antiretroviral regimens in diverse resource-limited settings. We will request data on the effects of different antiretroviral regimens on neuropsychological and neurological functioning in resource-limited settings.
Note: no street addresses included</t>
  </si>
  <si>
    <t>ACTG (red_dark), Broad Consent (green), JHB (lime), no street addresses (red)</t>
  </si>
  <si>
    <t>lisavanaardenne</t>
  </si>
  <si>
    <t>2024-05-28T14:15:15.072Z</t>
  </si>
  <si>
    <t>645b7bcc98f010ed874ea53c</t>
  </si>
  <si>
    <t>JHB_ACTG_019_PEARLS_A5175</t>
  </si>
  <si>
    <t>https://trello.com/c/XH8G9B4V/209-jhbactg019pearlsa5175</t>
  </si>
  <si>
    <t>Study title: Once-Daily PI + Non-NRTI Regimens for Initial Tx in Resource-Limited Settingsâ€ [PEARLS] Trial
Psychosocial Predictors of Non-Adherence and Treatment Failure. We will request data on psychosocial factors that influence adherence to antiretroviral therapy and treatment outcomes in a multinational context
Note: no street addresses included
N=1571</t>
  </si>
  <si>
    <t>2024-05-28T14:14:56.873Z</t>
  </si>
  <si>
    <t>645b7bcc2fdd0233dd5a7d6b</t>
  </si>
  <si>
    <t>JHB_ACTG_018_A5271</t>
  </si>
  <si>
    <t>https://trello.com/c/Oz7Q22vZ/211-jhbactg018a5271</t>
  </si>
  <si>
    <t>Study title: Collection of Comparison Neurocognitive Data in Resource-Limited Settings
neurocognitive comparison data in diverse resource-limited settings. We will request data on neurocognitive performance across different antiretroviral regimens and diverse settings.</t>
  </si>
  <si>
    <t>2024-05-28T14:14:40.980Z</t>
  </si>
  <si>
    <t>645b7bccea3319da34f6d321</t>
  </si>
  <si>
    <t>JHB_ACTG_017_A5073</t>
  </si>
  <si>
    <t>https://trello.com/c/4lhwfddT/212-jhbactg017a5073</t>
  </si>
  <si>
    <t>Study title: A randomized, Phase II, open-label study to compare twice daily and once daily potent antiretroviral therapy and to compare self-administered therapy and therapy administered under direct observation
â€Œ
Comparison of BID ART vs QD ART and Self-Administered ART vs. DOT ART
Comparison of once-daily versus twice-daily combination antiretroviral therapy in treatment-naive patients and Modified directly observed antiretroviral therapy compared with self-administered therapy in treatment-naive HIV-1-infected patients. We will request data on the comparative efficacy, safety, and adherence rates of once-daily and twice-daily antiretroviral therapy, as well as modified directly observed antiretroviral therapy versus self-administered therapy in treatment-naive patients.</t>
  </si>
  <si>
    <t>2024-05-28T14:13:53.952Z</t>
  </si>
  <si>
    <t>645b7bcc6f14d0b9e3c0a3d5</t>
  </si>
  <si>
    <t>JHB_ACTG_016_STRIDE_A5221</t>
  </si>
  <si>
    <t>https://trello.com/c/9imVaE3t/213-jhbactg016stridea5221</t>
  </si>
  <si>
    <t>Timing of antiretroviral therapy for HIV-1 infection and tuberculosis. We will request data on the optimal timing of antiretroviral therapy initiation in the context of HIV-1 and tuberculosis co-infection.</t>
  </si>
  <si>
    <t>2024-05-28T14:12:51.048Z</t>
  </si>
  <si>
    <t>645b7bccad72cd2ce3e1e1d7</t>
  </si>
  <si>
    <t>JHB_ACTG_015_OCTANE_A5208</t>
  </si>
  <si>
    <t>https://trello.com/c/LzsVwqbf/210-jhbactg015octanea5208</t>
  </si>
  <si>
    <t>Optimal Combination Therapy After Nevirapine Exposure
N=106
â€Œ
â€Œ
A5221: Nevirapine- versus lopinavir/ritonavir-based initial therapy for HIV-1 infection among women in Africa. We will request data on the comparative efficacy, safety, and tolerability of nevirapine and lopinavir/ritonavir-based initial therapy in African women with HIV-1 infection.</t>
  </si>
  <si>
    <t>2024-05-28T14:04:34.067Z</t>
  </si>
  <si>
    <t>63bd5462d377120164da3ff2</t>
  </si>
  <si>
    <t>JHB_DPHRU_053_MASC Study</t>
  </si>
  <si>
    <t>https://trello.com/c/iVkZWhgV/100-jhbdphru053masc-study</t>
  </si>
  <si>
    <t>Sydney Brenner Institute for Molecular Bioscience
Middle-aged Soweto Cohort (MASC) which includes the men and women who were part of the original AWI-Gen 1 study (2011-2014; n=~2000) and who were followed up again in 2017/2018 as part of a diabetes study (n=~1000).Â  AWI-Gen 2 was then completed in 2021/2022 on n=1400.
As agreed I think it is probably best to start moving forward with the most recent data and hopefully in time we can start to explore the historical data more (the women from the MASC cohort were the original Bt20 caregivers so we have historical data on them at various time points between 1990 and 2010). Â Although all of this data is stored on the Wits servers we have worked closely with a data management company (DataQ) to set up the longitudinal database for two time points so far (2011-2014 and 2017/2018). Obviously this data is de-identified so we will have to link to addresses etc stored on the Wits servers but this should be easily done with IDs.
PI: Dr Shane Norris
â€Œ
Lisa Micklesfield:</t>
  </si>
  <si>
    <t>Broad Consent (green), DPHRU (black_light), JHB (lime), SSA approval (sky), Sydney Brenner Institute of Molecular Bioscience (orange)</t>
  </si>
  <si>
    <t>2024-06-28T05:00:00.000Z</t>
  </si>
  <si>
    <t>2024-06-03T16:20:52.340Z</t>
  </si>
  <si>
    <t>64108fa31f689dd2699786d0</t>
  </si>
  <si>
    <t>JHB_IMPAACT_010_PROMISE1077BF</t>
  </si>
  <si>
    <t>https://trello.com/c/kSUsjoZK/133-jhbimpaact010promise1077bf</t>
  </si>
  <si>
    <t>###### **Breastfeeding Version of the PROMISE Study (Promoting Maternal and Infant Survival Everywhere): (1077 BF /PROMISE)**
NCT01061151
N= approximately 268</t>
  </si>
  <si>
    <t>Broad Consent (green), IMPAACT (red_light), JHB (lime), Problem (red_dark)</t>
  </si>
  <si>
    <t>2024-06-05T05:00:00.000Z</t>
  </si>
  <si>
    <t>2024-06-03T16:20:16.315Z</t>
  </si>
  <si>
    <t>64b57c45933f60f890978e3d</t>
  </si>
  <si>
    <t>ABJ019- NCT02025868</t>
  </si>
  <si>
    <t>https://trello.com/c/R6O2zTPN/223-abj019-nct02025868</t>
  </si>
  <si>
    <t>Third Line Antiretroviral Treatment Optimization in Sub-Saharan Africa
Number of participants: 201
Study date: 2014-2017
NCT02025868
â€Œ
Serge EholiÃ©</t>
  </si>
  <si>
    <t>Narrow Consent (lime_light), Problem (red_dark)</t>
  </si>
  <si>
    <t>emerenceokoue1</t>
  </si>
  <si>
    <t>2024-01-31T13:50:00.000Z</t>
  </si>
  <si>
    <t>2024-06-03T16:18:43.974Z</t>
  </si>
  <si>
    <t>65a78d7f586355f11590252c</t>
  </si>
  <si>
    <t>Harmonization ready for mapping</t>
  </si>
  <si>
    <t>6385d1f382addd0588f9cbe4</t>
  </si>
  <si>
    <t>JHB_WRHI_003_DRV052</t>
  </si>
  <si>
    <t>https://trello.com/c/CypsBwui/2-jhbwrhi003drv052</t>
  </si>
  <si>
    <t>Low-dose ritonavir-boosted darunavir once daily versus ritonavir-boosted lopinavir for participants with less than 50 HIV RNA copies per mL (WRHI 052): a randomised, open-label, phase 3, non-inferiority trialâ€
Ethics number: WRHI 052 Project 150705B
location: Charlotte Maxeke Johannesburg Academic Hospital
duration: 48 weeks
number of visits: 7
startdate: Jun 2016
enddate: Jun 2017
number of participants: 300</t>
  </si>
  <si>
    <t>Ezintsha (yellow_dark), JHB (lime), Narrow Consent (blue), SSA approval (sky)</t>
  </si>
  <si>
    <t>2024-06-28T13:50:00.000Z</t>
  </si>
  <si>
    <t>2024-06-03T16:15:56.722Z</t>
  </si>
  <si>
    <t>642c32d8dd1476bbb854b597</t>
  </si>
  <si>
    <t>JHB_SCHARP_004_HPTN075</t>
  </si>
  <si>
    <t>https://trello.com/c/w9fcz8f8/193-jhbscharp004hptn075</t>
  </si>
  <si>
    <t>Feasibility of HIV Prevention Cohort Studies Among MSM in Sub-Saharan Africa
101 men/transgender women enrolled at the Soweto HPTN CRS located at the Chris Hani Baragwanath Hospital (conducted 2015-2017)</t>
  </si>
  <si>
    <t>JHB (lime), SCHARP_HPTN (black), Wide consent (purple_light)</t>
  </si>
  <si>
    <t>2024-06-03T16:16:01.031Z</t>
  </si>
  <si>
    <t>6426bc7b299623d83a09eff0</t>
  </si>
  <si>
    <t>JHB_JHSPH_005_Novel TB Prevention Regimens for HIV-Infected Adults</t>
  </si>
  <si>
    <t>https://trello.com/c/xtiErWDL/191-jhbjhsph005novel-tb-prevention-regimens-for-hiv-infected-adults</t>
  </si>
  <si>
    <t>Study title: Novel TB Prevention Regimens for HIV-Infected Adults
Follow up with Richard E. Chaisson, MD Professor of Medicine, Epidemiology, and International Health Director, Johns Hopkins Center for Tuberculosis Research Principal Investigator, Johns Hopkins Center for AIDS Research
N=1148
Background Treatment of latent tuberculosis in patients infected with the human immunodeficiency virus (HIV) is efficacious, but few patients around the world receive such treatment. We evaluated three new regimens for latent tuberculosis that may be more potent and durable than standard isoniazid treatment. Methods We randomly assigned South African adults with HIV infection and a positive tuberculin skin test who were not taking antiretroviral therapy to receive rifapentine (900 mg) plus isoniazid (900 mg) weekly for 12 weeks, rifampin (600 mg) plus isoniazid (900 mg) twice weekly for 12 weeks, isoniazid (300 mg) daily for up to 6 years (continuous isoniazid), or isoniazid (300 mg) daily for 6 months (control group). The primary end point was tuberculosis-free survival. Results The 1148 patients had a median age of 30 years and a median CD4 cell count of 484 per cubic millimeter. Incidence rates of active tuberculosis or death were 3.1 per 100 person-years in the rifapentineâ€“isoniazid group, 2.9 per 100 person-years in the rifampinâ€“isoniazid group, and 2.7 per 100 person-years in the continuous-isoniazid group, as compared with 3.6 per 100 person-years in the control group (P&gt;0.05 for all comparisons). Serious adverse reactions were more common in the continuousisoniazid group (18.4 per 100 person-years) than in the other treatment groups (8.7 to 15.4 per 100 person-years). Two of 58 isolates of Mycobacterium tuberculosis (3.4%) were found to have multidrug resistance
â€Œ
Wits approved</t>
  </si>
  <si>
    <t>JHB (lime), JHSPH (red_dark), Narrow Consent (blue), PHRU (green)</t>
  </si>
  <si>
    <t>2024-06-28T08:36:00.000Z</t>
  </si>
  <si>
    <t>2024-06-03T16:14:51.711Z</t>
  </si>
  <si>
    <t>642c332baf24169e1d217cb1</t>
  </si>
  <si>
    <t>JHB_SCHARP_006_HPTN082</t>
  </si>
  <si>
    <t>https://trello.com/c/GdkbLvdW/194-jhbscharp006hptn082</t>
  </si>
  <si>
    <t>Study title: Uptake and adherence to daily oral PrEP as a primary prevention strategy for young African women: A Vanguard Study
137 young women enrolled at Ward 21 (conducted 2016-2018)
â€Œ
Wits HREC ref: 160304</t>
  </si>
  <si>
    <t>JHB (lime), SCHARP_HPTN (black), SSA approval (sky), Wide consent (purple_light), Wits RHI (yellow)</t>
  </si>
  <si>
    <t>2024-06-03T16:16:13.764Z</t>
  </si>
  <si>
    <t>6385d29ea210e20a03055067</t>
  </si>
  <si>
    <t>JHB_Ezin_002_ADVANCE</t>
  </si>
  <si>
    <t>https://trello.com/c/vaVJmDrE/3-jhbezin002advance</t>
  </si>
  <si>
    <t>Study title: A 96-week Randomised, Phase 3 Non-inferiority Study of DTG + TAF + FTC Compared
with DTG + TDF + FTC and EFV + TDF+FTC in Patients Infected with HIV-1 Starting First-line Antiretroviral Therapy
location: inner-city JHB
duration: 96 weeks
number of visits: 11
start date: Feb 2017
end date: May 2018
number of participants: 1053</t>
  </si>
  <si>
    <t>2024-06-03T16:16:26.815Z</t>
  </si>
  <si>
    <t>6645dc7b661c51aa21c6f584</t>
  </si>
  <si>
    <t>Harmonization mapping in progress</t>
  </si>
  <si>
    <t>6385d00c0d1fc50340d5d6bc</t>
  </si>
  <si>
    <t>JHB_Ezin_001_D4T</t>
  </si>
  <si>
    <t>https://trello.com/c/D4kdsxlK/1-jhbezin001d4t</t>
  </si>
  <si>
    <t>Title: A randomised, double-blind, multi-centre, parallel- group phase 3B study to demontrate non-inferiority of stavudine (20mg twice daily) compared with Tenofovir Disproxil Fumarate (300mg once daily) when administered in combination with Lamivudine and Efavirenz in Antiretroviral-naive patients infected with HIV-1
location: Charlotte Maxeke Johannesburg Academic Hospital
duration: 96 weeks
number of visits: 11
start date: Jul 2012
end date: Jan 2014
number of participants: 600</t>
  </si>
  <si>
    <t>Broad Consent (green), Ezintsha (yellow_dark), JHB (lime), SSA approval (sky)</t>
  </si>
  <si>
    <t>2024-06-30T13:50:00.000Z</t>
  </si>
  <si>
    <t>2024-06-03T16:16:29.426Z</t>
  </si>
  <si>
    <t>Abidjan,Narrow Consent (lime_light), Problem (red_dark)</t>
  </si>
  <si>
    <t>VIDA</t>
  </si>
  <si>
    <t>contract name change? Este/Lisa</t>
  </si>
  <si>
    <t>WitsRHI</t>
  </si>
  <si>
    <t>DPHRU</t>
  </si>
  <si>
    <t>to set up meeting with parties</t>
  </si>
  <si>
    <t>CHRU</t>
  </si>
  <si>
    <t>Vivli</t>
  </si>
  <si>
    <t>PHRU</t>
  </si>
  <si>
    <t>SCHARP_HVTN</t>
  </si>
  <si>
    <t>Sydney?</t>
  </si>
  <si>
    <t>boehringer-ingelheim</t>
  </si>
  <si>
    <t>Ross Greener?</t>
  </si>
  <si>
    <t>Shionogi</t>
  </si>
  <si>
    <t>meeting Jeremy Nel?</t>
  </si>
  <si>
    <t>IeDEA</t>
  </si>
  <si>
    <t>Shinogi now following up on access to data</t>
  </si>
  <si>
    <t>invigorate DTA process?</t>
  </si>
  <si>
    <t>followed up with Ali, tracing</t>
  </si>
  <si>
    <t>application submitted, awaiting feedback</t>
  </si>
  <si>
    <t>Vivli application submitted</t>
  </si>
  <si>
    <t>NHLS</t>
  </si>
  <si>
    <t>Ezintsha</t>
  </si>
  <si>
    <t>ORG</t>
  </si>
  <si>
    <t>can't find ethics number</t>
  </si>
  <si>
    <t>Row Labels</t>
  </si>
  <si>
    <t>Grand Total</t>
  </si>
  <si>
    <t>UCT TRF</t>
  </si>
  <si>
    <t>Count Categories</t>
  </si>
  <si>
    <t>Categories</t>
  </si>
  <si>
    <t>a. Data currently unavailable/start data acquisition when data becomes available</t>
  </si>
  <si>
    <t>b.Identified in review/Application or initial request needs to be sent</t>
  </si>
  <si>
    <t>c.1st Follow up needs to be actioned</t>
  </si>
  <si>
    <t>d.Expressed interest in participating/Next steps email or address queries on application</t>
  </si>
  <si>
    <t>e.Next steps or application sent/now to follow up</t>
  </si>
  <si>
    <t>f.confirmed eligibility/start DTA Process</t>
  </si>
  <si>
    <t>g.Entering into DTA/follow up with data provider</t>
  </si>
  <si>
    <t>h.Waiver of consent in place/ send documentation to Wits HREC</t>
  </si>
  <si>
    <t>i.Batch to send to Ethics for notifications</t>
  </si>
  <si>
    <t>j.Data transfered to UCT</t>
  </si>
  <si>
    <t>h.Harmonization ready for mapping</t>
  </si>
  <si>
    <t>i.Harmonization mapping in progress</t>
  </si>
  <si>
    <t>RP2 JHB data analysis</t>
  </si>
  <si>
    <t>email Este to confirm with Lisa ok to proceed</t>
  </si>
  <si>
    <t>VIDA/Clover</t>
  </si>
  <si>
    <t>Clover Pharmaceuticals? Aysha Badat/ check with zyaad for VIDa as well, reach out to PI</t>
  </si>
  <si>
    <t>MFC to sign the DTA</t>
  </si>
  <si>
    <t>provider delay</t>
  </si>
  <si>
    <t>privacy</t>
  </si>
  <si>
    <t>ethics</t>
  </si>
  <si>
    <t>database integration</t>
  </si>
  <si>
    <t>Harmonization coding check</t>
  </si>
  <si>
    <t>Harmonization health check</t>
  </si>
  <si>
    <t>DTA &gt;3mnths</t>
  </si>
  <si>
    <t>network</t>
  </si>
  <si>
    <t>h.Harmonization  mapping in progress</t>
  </si>
  <si>
    <t>payment</t>
  </si>
  <si>
    <t>Transfer of data in progress</t>
  </si>
  <si>
    <t>sent to Ethics</t>
  </si>
  <si>
    <t>entering into DTA</t>
  </si>
  <si>
    <t>repository</t>
  </si>
  <si>
    <t>Privacy Concerns</t>
  </si>
  <si>
    <t>Total eligible studies</t>
  </si>
  <si>
    <t>Lack of incentives</t>
  </si>
  <si>
    <t>Data repositories</t>
  </si>
  <si>
    <t>Delays in responses</t>
  </si>
  <si>
    <t>Geocoding CeSSHAR</t>
  </si>
  <si>
    <t>JHB_WRHI_001</t>
  </si>
  <si>
    <t>declined participation</t>
  </si>
  <si>
    <t>Reactivate</t>
  </si>
  <si>
    <t>Park</t>
  </si>
  <si>
    <t>Entering into DTA</t>
  </si>
  <si>
    <t>Data online</t>
  </si>
  <si>
    <t xml:space="preserve">Data transferred </t>
  </si>
  <si>
    <t>Harmonization mapping</t>
  </si>
  <si>
    <t>JHB_Ezin_001_D4T (WRHI_001)</t>
  </si>
  <si>
    <t>box</t>
  </si>
  <si>
    <t>RP2_DTAv1</t>
  </si>
  <si>
    <t>WHC</t>
  </si>
  <si>
    <t>Aurum DUA?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</si>
</sst>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0.0%"/>
    <numFmt numFmtId="165" formatCode="_-* #,##0_-;\-* #,##0_-;_-* &quot;-&quot;??_-;_-@_-"/>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rgb="FF172B4D"/>
      <name val="Segoe UI"/>
      <family val="2"/>
    </font>
    <font>
      <b/>
      <sz val="12"/>
      <color theme="1"/>
      <name val="Calibri"/>
      <family val="2"/>
      <scheme val="minor"/>
    </font>
    <font>
      <sz val="1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9" tint="0.7999816888943144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41">
    <xf numFmtId="0" fontId="0" fillId="0" borderId="0" xfId="0"/>
    <xf numFmtId="0" fontId="0" fillId="0" borderId="0" xfId="0" applyAlignment="1">
      <alignment wrapText="1"/>
    </xf>
    <xf numFmtId="11" fontId="0" fillId="0" borderId="0" xfId="0" applyNumberFormat="1"/>
    <xf numFmtId="0" fontId="0" fillId="33" borderId="0" xfId="0" applyFill="1"/>
    <xf numFmtId="0" fontId="0" fillId="34" borderId="0" xfId="0" applyFill="1" applyAlignment="1">
      <alignment wrapText="1"/>
    </xf>
    <xf numFmtId="0" fontId="0" fillId="35" borderId="0" xfId="0" applyFill="1" applyAlignment="1">
      <alignment wrapText="1"/>
    </xf>
    <xf numFmtId="0" fontId="0" fillId="36" borderId="0" xfId="0" applyFill="1" applyAlignment="1">
      <alignment wrapText="1"/>
    </xf>
    <xf numFmtId="0" fontId="0" fillId="37" borderId="0" xfId="0" applyFill="1" applyAlignment="1">
      <alignment wrapText="1"/>
    </xf>
    <xf numFmtId="0" fontId="18" fillId="0" borderId="0" xfId="0" applyFont="1"/>
    <xf numFmtId="0" fontId="0" fillId="0" borderId="10" xfId="0" applyBorder="1"/>
    <xf numFmtId="0" fontId="0" fillId="0" borderId="11" xfId="0" applyBorder="1"/>
    <xf numFmtId="0" fontId="0" fillId="0" borderId="11" xfId="0" pivotButton="1" applyBorder="1"/>
    <xf numFmtId="0" fontId="0" fillId="0" borderId="11" xfId="0" pivotButton="1" applyBorder="1" applyAlignment="1">
      <alignment wrapText="1"/>
    </xf>
    <xf numFmtId="0" fontId="0" fillId="0" borderId="0" xfId="0" pivotButton="1" applyAlignment="1">
      <alignment wrapText="1"/>
    </xf>
    <xf numFmtId="0" fontId="0" fillId="0" borderId="10" xfId="0" applyBorder="1" applyAlignment="1">
      <alignment horizontal="left" wrapText="1"/>
    </xf>
    <xf numFmtId="0" fontId="0" fillId="35" borderId="11" xfId="0" applyFill="1" applyBorder="1"/>
    <xf numFmtId="9" fontId="0" fillId="0" borderId="0" xfId="1" applyFont="1"/>
    <xf numFmtId="164" fontId="0" fillId="0" borderId="0" xfId="1" applyNumberFormat="1" applyFont="1"/>
    <xf numFmtId="0" fontId="0" fillId="35" borderId="10" xfId="0" applyFill="1" applyBorder="1"/>
    <xf numFmtId="9" fontId="0" fillId="33" borderId="0" xfId="1" applyFont="1" applyFill="1"/>
    <xf numFmtId="0" fontId="0" fillId="36" borderId="10" xfId="0" applyFill="1" applyBorder="1"/>
    <xf numFmtId="0" fontId="14" fillId="0" borderId="10" xfId="0" applyFont="1" applyBorder="1"/>
    <xf numFmtId="0" fontId="14" fillId="38" borderId="10" xfId="0" applyFont="1" applyFill="1" applyBorder="1"/>
    <xf numFmtId="0" fontId="0" fillId="34" borderId="10" xfId="0" applyFill="1" applyBorder="1"/>
    <xf numFmtId="0" fontId="19" fillId="0" borderId="0" xfId="0" applyFont="1" applyAlignment="1">
      <alignment wrapText="1"/>
    </xf>
    <xf numFmtId="0" fontId="20" fillId="0" borderId="10" xfId="0" applyFont="1" applyBorder="1" applyAlignment="1">
      <alignment horizontal="left" wrapText="1"/>
    </xf>
    <xf numFmtId="0" fontId="20" fillId="38" borderId="10" xfId="0" applyFont="1" applyFill="1" applyBorder="1"/>
    <xf numFmtId="164" fontId="20" fillId="33" borderId="0" xfId="1" applyNumberFormat="1" applyFont="1" applyFill="1"/>
    <xf numFmtId="0" fontId="20" fillId="0" borderId="0" xfId="0" applyFont="1"/>
    <xf numFmtId="0" fontId="14" fillId="0" borderId="11" xfId="0" applyFont="1" applyBorder="1"/>
    <xf numFmtId="0" fontId="0" fillId="39" borderId="10" xfId="0" applyFill="1" applyBorder="1"/>
    <xf numFmtId="0" fontId="0" fillId="0" borderId="12" xfId="0" applyBorder="1" applyAlignment="1">
      <alignment wrapText="1"/>
    </xf>
    <xf numFmtId="0" fontId="0" fillId="0" borderId="12" xfId="0" applyBorder="1"/>
    <xf numFmtId="0" fontId="18" fillId="0" borderId="12" xfId="0" applyFont="1" applyBorder="1"/>
    <xf numFmtId="0" fontId="0" fillId="40" borderId="0" xfId="0" applyFill="1"/>
    <xf numFmtId="165" fontId="0" fillId="0" borderId="0" xfId="43" applyNumberFormat="1" applyFont="1"/>
    <xf numFmtId="0" fontId="0" fillId="39" borderId="0" xfId="0" applyFill="1" applyAlignment="1">
      <alignment wrapText="1"/>
    </xf>
    <xf numFmtId="0" fontId="0" fillId="0" borderId="10" xfId="0" applyBorder="1" applyAlignment="1">
      <alignment wrapText="1"/>
    </xf>
    <xf numFmtId="0" fontId="0" fillId="36" borderId="10" xfId="0" applyFill="1" applyBorder="1" applyAlignment="1">
      <alignment wrapText="1"/>
    </xf>
    <xf numFmtId="0" fontId="18" fillId="0" borderId="10" xfId="0" applyFont="1" applyBorder="1"/>
    <xf numFmtId="0" fontId="0" fillId="39" borderId="10" xfId="0" applyFill="1" applyBorder="1" applyAlignment="1">
      <alignment wrapText="1"/>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32">
    <dxf>
      <fill>
        <patternFill>
          <bgColor theme="4" tint="0.79998168889431442"/>
        </patternFill>
      </fill>
    </dxf>
    <dxf>
      <font>
        <color rgb="FFFF0000"/>
      </font>
    </dxf>
    <dxf>
      <font>
        <color rgb="FFFF0000"/>
      </font>
    </dxf>
    <dxf>
      <font>
        <color rgb="FFFF0000"/>
      </font>
    </dxf>
    <dxf>
      <font>
        <color auto="1"/>
      </font>
    </dxf>
    <dxf>
      <font>
        <color auto="1"/>
      </font>
    </dxf>
    <dxf>
      <fill>
        <patternFill>
          <bgColor theme="5" tint="0.79998168889431442"/>
        </patternFill>
      </fill>
    </dxf>
    <dxf>
      <fill>
        <patternFill>
          <bgColor theme="5" tint="0.79998168889431442"/>
        </patternFill>
      </fill>
    </dxf>
    <dxf>
      <fill>
        <patternFill patternType="none">
          <bgColor auto="1"/>
        </patternFill>
      </fill>
    </dxf>
    <dxf>
      <fill>
        <patternFill patternType="solid">
          <bgColor theme="0" tint="-4.9989318521683403E-2"/>
        </patternFill>
      </fill>
    </dxf>
    <dxf>
      <font>
        <color rgb="FFFF0000"/>
      </font>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9" tint="0.59999389629810485"/>
        </patternFill>
      </fill>
    </dxf>
    <dxf>
      <fill>
        <patternFill patternType="solid">
          <bgColor theme="9"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alignment wrapText="1"/>
    </dxf>
    <dxf>
      <alignment wrapText="1"/>
    </dxf>
    <dxf>
      <alignment wrapText="1"/>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barChart>
        <c:barDir val="bar"/>
        <c:grouping val="percentStacked"/>
        <c:varyColors val="0"/>
        <c:ser>
          <c:idx val="0"/>
          <c:order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abstract!$B$54:$B$58</c:f>
              <c:strCache>
                <c:ptCount val="5"/>
                <c:pt idx="0">
                  <c:v>Total eligible studies</c:v>
                </c:pt>
                <c:pt idx="1">
                  <c:v>Delays in responses</c:v>
                </c:pt>
                <c:pt idx="2">
                  <c:v>Privacy Concerns</c:v>
                </c:pt>
                <c:pt idx="3">
                  <c:v>Lack of incentives</c:v>
                </c:pt>
                <c:pt idx="4">
                  <c:v>Data repositories</c:v>
                </c:pt>
              </c:strCache>
            </c:strRef>
          </c:cat>
          <c:val>
            <c:numRef>
              <c:f>abstract!$C$54:$C$58</c:f>
              <c:numCache>
                <c:formatCode>_-* #\ ##0_-;\-* #\ ##0_-;_-* "-"??_-;_-@_-</c:formatCode>
                <c:ptCount val="5"/>
                <c:pt idx="0">
                  <c:v>58</c:v>
                </c:pt>
                <c:pt idx="1">
                  <c:v>38</c:v>
                </c:pt>
                <c:pt idx="2">
                  <c:v>35</c:v>
                </c:pt>
                <c:pt idx="3">
                  <c:v>12</c:v>
                </c:pt>
                <c:pt idx="4">
                  <c:v>5</c:v>
                </c:pt>
              </c:numCache>
            </c:numRef>
          </c:val>
          <c:extLst>
            <c:ext xmlns:c16="http://schemas.microsoft.com/office/drawing/2014/chart" uri="{C3380CC4-5D6E-409C-BE32-E72D297353CC}">
              <c16:uniqueId val="{00000000-59F5-4084-8D59-31C253F34760}"/>
            </c:ext>
          </c:extLst>
        </c:ser>
        <c:dLbls>
          <c:showLegendKey val="0"/>
          <c:showVal val="0"/>
          <c:showCatName val="0"/>
          <c:showSerName val="0"/>
          <c:showPercent val="0"/>
          <c:showBubbleSize val="0"/>
        </c:dLbls>
        <c:gapWidth val="150"/>
        <c:overlap val="100"/>
        <c:axId val="771944816"/>
        <c:axId val="771946736"/>
      </c:barChart>
      <c:catAx>
        <c:axId val="771944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771946736"/>
        <c:crosses val="autoZero"/>
        <c:auto val="1"/>
        <c:lblAlgn val="ctr"/>
        <c:lblOffset val="100"/>
        <c:noMultiLvlLbl val="0"/>
      </c:catAx>
      <c:valAx>
        <c:axId val="77194673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771944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sz="2000">
                <a:latin typeface="Aptos" panose="020B0004020202020204" pitchFamily="34" charset="0"/>
              </a:rPr>
              <a:t>Constraints quantified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243900355650809"/>
          <c:y val="8.5422464315248262E-2"/>
          <c:w val="0.87748644954883603"/>
          <c:h val="0.56599521806349551"/>
        </c:manualLayout>
      </c:layout>
      <c:bar3DChart>
        <c:barDir val="col"/>
        <c:grouping val="clustered"/>
        <c:varyColors val="0"/>
        <c:ser>
          <c:idx val="0"/>
          <c:order val="0"/>
          <c:spPr>
            <a:solidFill>
              <a:schemeClr val="accent2"/>
            </a:solidFill>
            <a:ln>
              <a:noFill/>
            </a:ln>
            <a:effectLst/>
            <a:sp3d/>
          </c:spPr>
          <c:invertIfNegative val="0"/>
          <c:dPt>
            <c:idx val="0"/>
            <c:invertIfNegative val="0"/>
            <c:bubble3D val="0"/>
            <c:spPr>
              <a:solidFill>
                <a:schemeClr val="accent6">
                  <a:lumMod val="60000"/>
                  <a:lumOff val="40000"/>
                </a:schemeClr>
              </a:solidFill>
              <a:ln>
                <a:noFill/>
              </a:ln>
              <a:effectLst/>
              <a:sp3d/>
            </c:spPr>
            <c:extLst>
              <c:ext xmlns:c16="http://schemas.microsoft.com/office/drawing/2014/chart" uri="{C3380CC4-5D6E-409C-BE32-E72D297353CC}">
                <c16:uniqueId val="{00000001-17F1-468E-AF12-C315EDC5E49E}"/>
              </c:ext>
            </c:extLst>
          </c:dPt>
          <c:dPt>
            <c:idx val="3"/>
            <c:invertIfNegative val="0"/>
            <c:bubble3D val="0"/>
            <c:spPr>
              <a:solidFill>
                <a:schemeClr val="accent4">
                  <a:lumMod val="40000"/>
                  <a:lumOff val="60000"/>
                </a:schemeClr>
              </a:solidFill>
              <a:ln>
                <a:noFill/>
              </a:ln>
              <a:effectLst/>
              <a:sp3d/>
            </c:spPr>
            <c:extLst>
              <c:ext xmlns:c16="http://schemas.microsoft.com/office/drawing/2014/chart" uri="{C3380CC4-5D6E-409C-BE32-E72D297353CC}">
                <c16:uniqueId val="{00000002-17F1-468E-AF12-C315EDC5E49E}"/>
              </c:ext>
            </c:extLst>
          </c:dPt>
          <c:dPt>
            <c:idx val="4"/>
            <c:invertIfNegative val="0"/>
            <c:bubble3D val="0"/>
            <c:spPr>
              <a:solidFill>
                <a:schemeClr val="accent4">
                  <a:lumMod val="40000"/>
                  <a:lumOff val="60000"/>
                </a:schemeClr>
              </a:solidFill>
              <a:ln>
                <a:noFill/>
              </a:ln>
              <a:effectLst/>
              <a:sp3d/>
            </c:spPr>
            <c:extLst>
              <c:ext xmlns:c16="http://schemas.microsoft.com/office/drawing/2014/chart" uri="{C3380CC4-5D6E-409C-BE32-E72D297353CC}">
                <c16:uniqueId val="{00000003-17F1-468E-AF12-C315EDC5E49E}"/>
              </c:ext>
            </c:extLst>
          </c:dPt>
          <c:cat>
            <c:strRef>
              <c:f>abstract!$B$54:$B$58</c:f>
              <c:strCache>
                <c:ptCount val="5"/>
                <c:pt idx="0">
                  <c:v>Total eligible studies</c:v>
                </c:pt>
                <c:pt idx="1">
                  <c:v>Delays in responses</c:v>
                </c:pt>
                <c:pt idx="2">
                  <c:v>Privacy Concerns</c:v>
                </c:pt>
                <c:pt idx="3">
                  <c:v>Lack of incentives</c:v>
                </c:pt>
                <c:pt idx="4">
                  <c:v>Data repositories</c:v>
                </c:pt>
              </c:strCache>
            </c:strRef>
          </c:cat>
          <c:val>
            <c:numRef>
              <c:f>abstract!$C$54:$C$58</c:f>
              <c:numCache>
                <c:formatCode>_-* #\ ##0_-;\-* #\ ##0_-;_-* "-"??_-;_-@_-</c:formatCode>
                <c:ptCount val="5"/>
                <c:pt idx="0">
                  <c:v>58</c:v>
                </c:pt>
                <c:pt idx="1">
                  <c:v>38</c:v>
                </c:pt>
                <c:pt idx="2">
                  <c:v>35</c:v>
                </c:pt>
                <c:pt idx="3">
                  <c:v>12</c:v>
                </c:pt>
                <c:pt idx="4">
                  <c:v>5</c:v>
                </c:pt>
              </c:numCache>
            </c:numRef>
          </c:val>
          <c:extLst>
            <c:ext xmlns:c16="http://schemas.microsoft.com/office/drawing/2014/chart" uri="{C3380CC4-5D6E-409C-BE32-E72D297353CC}">
              <c16:uniqueId val="{00000000-17F1-468E-AF12-C315EDC5E49E}"/>
            </c:ext>
          </c:extLst>
        </c:ser>
        <c:dLbls>
          <c:showLegendKey val="0"/>
          <c:showVal val="0"/>
          <c:showCatName val="0"/>
          <c:showSerName val="0"/>
          <c:showPercent val="0"/>
          <c:showBubbleSize val="0"/>
        </c:dLbls>
        <c:gapWidth val="150"/>
        <c:shape val="box"/>
        <c:axId val="824996992"/>
        <c:axId val="824990272"/>
        <c:axId val="0"/>
      </c:bar3DChart>
      <c:catAx>
        <c:axId val="8249969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824990272"/>
        <c:crosses val="autoZero"/>
        <c:auto val="1"/>
        <c:lblAlgn val="ctr"/>
        <c:lblOffset val="100"/>
        <c:noMultiLvlLbl val="0"/>
      </c:catAx>
      <c:valAx>
        <c:axId val="824990272"/>
        <c:scaling>
          <c:orientation val="minMax"/>
        </c:scaling>
        <c:delete val="0"/>
        <c:axPos val="l"/>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Aptos" panose="020B0004020202020204" pitchFamily="34" charset="0"/>
                    <a:ea typeface="+mn-ea"/>
                    <a:cs typeface="+mn-cs"/>
                  </a:defRPr>
                </a:pPr>
                <a:r>
                  <a:rPr lang="en-ZA" sz="1800">
                    <a:latin typeface="Aptos" panose="020B0004020202020204" pitchFamily="34" charset="0"/>
                  </a:rPr>
                  <a:t>Number of studies</a:t>
                </a: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title>
        <c:numFmt formatCode="_-* #\ ##0_-;\-* #\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824996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B05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57150</xdr:colOff>
      <xdr:row>0</xdr:row>
      <xdr:rowOff>6</xdr:rowOff>
    </xdr:from>
    <xdr:to>
      <xdr:col>13</xdr:col>
      <xdr:colOff>468630</xdr:colOff>
      <xdr:row>18</xdr:row>
      <xdr:rowOff>76206</xdr:rowOff>
    </xdr:to>
    <xdr:graphicFrame macro="">
      <xdr:nvGraphicFramePr>
        <xdr:cNvPr id="3" name="Chart 2">
          <a:extLst>
            <a:ext uri="{FF2B5EF4-FFF2-40B4-BE49-F238E27FC236}">
              <a16:creationId xmlns:a16="http://schemas.microsoft.com/office/drawing/2014/main" id="{01579C4D-FD79-1DE7-06CC-8D3C875B86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464820</xdr:colOff>
      <xdr:row>47</xdr:row>
      <xdr:rowOff>76200</xdr:rowOff>
    </xdr:from>
    <xdr:to>
      <xdr:col>15</xdr:col>
      <xdr:colOff>251460</xdr:colOff>
      <xdr:row>61</xdr:row>
      <xdr:rowOff>304800</xdr:rowOff>
    </xdr:to>
    <xdr:graphicFrame macro="">
      <xdr:nvGraphicFramePr>
        <xdr:cNvPr id="5" name="Chart 4">
          <a:extLst>
            <a:ext uri="{FF2B5EF4-FFF2-40B4-BE49-F238E27FC236}">
              <a16:creationId xmlns:a16="http://schemas.microsoft.com/office/drawing/2014/main" id="{5E801084-FABE-C49E-5A51-DB1A3B5FB1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izabeth Frederick" refreshedDate="45448.574266782409" createdVersion="8" refreshedVersion="8" minRefreshableVersion="3" recordCount="49" xr:uid="{03761D20-A049-44B9-B8FE-1EA2C6017EF0}">
  <cacheSource type="worksheet">
    <worksheetSource ref="B2:I48" sheet="JHB"/>
  </cacheSource>
  <cacheFields count="8">
    <cacheField name="JHB_NHLS_38_Boston" numFmtId="0">
      <sharedItems/>
    </cacheField>
    <cacheField name="https://trello.com/c/bzkLFYab/227-jhbnhls38boston" numFmtId="0">
      <sharedItems/>
    </cacheField>
    <cacheField name="Mary MasKEW and the Hero group, they developed a really interesting platform with their data science team.Â I think maybe Matthew Cox and others in the US.Â In Boston, I think I'm not Boston.Â Yeah, and that sounded like a really interesting database and they wanted to collaborate and it was a group I think called Quantum who were also involved somehow or Palindrome." numFmtId="0">
      <sharedItems longText="1"/>
    </cacheField>
    <cacheField name="NHLS" numFmtId="0">
      <sharedItems containsBlank="1" count="13">
        <s v="CHRU"/>
        <s v="WitsRHI"/>
        <s v="PHRU"/>
        <s v="Ezintsha"/>
        <s v="VIDA"/>
        <s v="Shionogi"/>
        <s v="boehringer-ingelheim"/>
        <s v="Vivli"/>
        <s v="IeDEA"/>
        <s v="SCHARP_HVTN"/>
        <s v="DPHRU"/>
        <s v="UCT TRF"/>
        <m u="1"/>
      </sharedItems>
    </cacheField>
    <cacheField name="2024-07-31T09:53:00.000Z" numFmtId="0">
      <sharedItems containsBlank="1"/>
    </cacheField>
    <cacheField name="2024-05-24T08:15:38.201Z" numFmtId="0">
      <sharedItems/>
    </cacheField>
    <cacheField name="638f3c82ca20a101dd404d9e" numFmtId="0">
      <sharedItems/>
    </cacheField>
    <cacheField name="a. Data currently unavailable/start data acquisition when data becomes available" numFmtId="0">
      <sharedItems count="12">
        <s v="a. Data currently unavailable/start data acquisition when data becomes available"/>
        <s v="b.Identified in review/Application or initial request needs to be sent"/>
        <s v="c.1st Follow up needs to be actioned"/>
        <s v="d.Expressed interest in participating/Next steps email or address queries on application"/>
        <s v="e.Next steps or application sent/now to follow up"/>
        <s v="f.confirmed eligibility/start DTA Process"/>
        <s v="g.Entering into DTA/follow up with data provider"/>
        <s v="h.Waiver of consent in place/ send documentation to Wits HREC"/>
        <s v="i.Batch to send to Ethics for notifications"/>
        <s v="j.Data transfered to UCT"/>
        <s v="h.Harmonization ready for mapping"/>
        <s v="i.Harmonization mapping in progres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s v="JHB_CHRU_30_REMoxTB_ACTGA5349"/>
    <s v="https://trello.com/c/TVIMNMU3/7-jhbchru30remoxtbactga5349"/>
    <s v="CHRU - Clinical HIV Research Unit, PI Ian Sanne_x000a__x000a_Clinical HIV Research Unit (CHRU)Johannesburg, Westdene, South Africa, 2092_x000a__x000a_Controlled Comparison of Two Moxifloxacin Containing Treatment Shortening Regimens in Pulmonary Tuberculosis_x000a__x000a_[https://clinicaltrials.gov/ct2/show/NCT00864383?term=Two+Months+Ethambutol%2C+Isoniazid%2C+Rifampicin+and+Pyrazinamide&amp;cntry=ZA&amp;draw=2&amp;rank=1](https://clinicaltrials.gov/ct2/show/NCT00864383?term=Two+Months+Ethambutol%2C+Isoniazid%2C+Rifampicin+and+Pyrazinamide&amp;cntry=ZA&amp;draw=2&amp;rank=1 &quot;â€Œ&quot;)_x000a__x000a_â€Œ_x000a__x000a_Research Officer: Goldberg, Stefan (CDC/DDID/NCIRD/OD) (CTR) [ssg3@cdc.gov](mailto:ssg3@cdc.gov &quot;â€Œ&quot;) (Retired) new Research Officer at CDC Kurbatova, Ekaterina (CDC/DDID/NCHHSTP/DTE) [ies3@cdc.gov](mailto:ies3@cdc.gov &quot;â€Œ&quot;)_x000a__x000a_NCT00864383_x000a__x000a_Study Type :Interventional Â (Clinical Trial)Actual Enrollment :1931_x000a__x000a_Number of Locations: 47 Locations_x000a__x000a_Clinical HIV Research Unit (CHRU)Johannesburg, Westdene, **South Africa**, 2092_x000a__x000a_Study Title: A Randomized, Placebo-Controlled, Double-Blind Trial Comparing Different Drug Combinations for Treating Adult Pulmonary Tuberculosis_x000a__x000a_Study Design: Participants are randomly assigned to different treatment groups in a parallel manner. The study is quadruple-masked, meaning that the participant, care provider, investigator, and outcome assessor are all unaware of the treatment group assignments. The main goal of the study is to compare the effectiveness of different treatment regimens._x000a__x000a_Treatment Comparison:_x000a__x000a_A two-month intensive phase comparing a combination of Ethambutol, Moxifloxacin, Rifampicin, and Pyrazinamide to the standard regimen (Ethambutol, Isoniazid, Rifampicin, and Pyrazinamide)._x000a__x000a_A treatment shortening regimen comparing two months of Moxifloxacin, Isoniazid, Rifampicin, and Pyrazinamide followed by two months of Moxifloxacin, Isoniazid, and Rifampicin to the standard regimen (two months of Ethambutol, Isoniazid, Rifampicin, and Pyrazinamide followed by four months of Isoniazid and Rifampicin)._x000a__x000a_Important Dates:_x000a__x000a_Study started in January 2008_x000a_Primary completion in October 2013_x000a_Study completed in February 2014"/>
    <x v="0"/>
    <s v="2024-08-23T06:00:00.000Z"/>
    <s v="2024-04-11T09:57:23.384Z"/>
    <s v="638f3c82ca20a101dd404d9e"/>
    <x v="0"/>
  </r>
  <r>
    <s v="JHB_WRHI_Soweto_40_HPTN052"/>
    <s v="https://trello.com/c/PGGQrOtw/195-jhbwrhisoweto40hptn052"/>
    <s v="The data is currently not available: we do not yet have de-identified datasets for HPTN052 (it is in progress)"/>
    <x v="1"/>
    <s v="2024-05-31T10:04:00.000Z"/>
    <s v="2024-05-24T13:44:26.337Z"/>
    <s v="638f3c82ca20a101dd404d9e"/>
    <x v="0"/>
  </r>
  <r>
    <s v="JHB_PHRU_41_CoVPN3008_PF_Soweto"/>
    <s v="https://trello.com/c/f3LMr5hs/161-jhbphru41covpn3008pfsoweto"/>
    <s v="Bara Clinical Research Site, Fatima Laher_x0009_, NCT05168813. Study not finished uet, contact next year._x000a__x000a_Estimated Completion Date: April 12, 2024 Â  (Final data collection date for primary outcome measure)"/>
    <x v="2"/>
    <s v="2024-05-31T10:04:00.000Z"/>
    <s v="2024-05-24T13:45:54.390Z"/>
    <s v="638f3c82ca20a101dd404d9e"/>
    <x v="0"/>
  </r>
  <r>
    <s v="JHB_Ezin_43_RCT_COVID_Ribavirin_Nitazoxanide"/>
    <s v="https://trello.com/c/ZC82jClv/156-jhbezin43rctcovidribavirinnitazoxanide"/>
    <s v="Simiso Sokhele Send to MRC to ask Franscois to share_x000a__x000a_NCT04563208_x000a__x000a_Study Type :Interventional Â (Clinical Trial)_x000a__x000a_Actual Enrollment :80 participants_x000a__x000a_Allocation:RandomizedIntervention_x000a__x000a_Model:Parallel Assignment_x000a__x000a_Masking:Double (Participant, Care Provider)_x000a__x000a_Masking Description:Double-blindPrimary Purpose:TreatmentOfficial Title:A Randomized, Double-Blind, Study Comparing the Efficacy, Safety, and Tolerability of Oral Administration of Ribavirin (RBV) and Nitazoxamide (NTZ)Versus Placebo in SARS-CoV-2 Virus Infected Participants (DuACT)_x000a__x000a_Actual Study Start Date :December 9, 2020_x000a__x000a_Actual Primary Completion Date :February 28, 2022_x000a__x000a_Actual Study Completion Date :February 28, 2022"/>
    <x v="3"/>
    <s v="2024-05-31T10:04:00.000Z"/>
    <s v="2024-05-24T13:47:10.001Z"/>
    <s v="638f3c82ca20a101dd404d9e"/>
    <x v="0"/>
  </r>
  <r>
    <s v="JHB010_VIDA7_44_PertussisVaccination"/>
    <s v="https://trello.com/c/kft4T7CE/15-jhb010vida744pertussisvaccination"/>
    <s v="Pertussis vaccination among HIV-infected and HIV-uninfected pregnant women - Sanofi Pasteur Trial Code: TD500058_x000a_Clinical trials number: NCT05264662_x000a__x000a_Study Type :Interventional Â (Clinical Trial)Estimated Enrollment :225 participantsAllocation:Non-RandomizedIntervention Model:Parallel AssignmentIntervention Model Description:open label phase IV clinical trialMasking:None (Open Label)Primary Purpose:TreatmentOfficial Title:Pertussis Vaccination Among HIV-infected and HIV-uninfected Pregnant WomenEstimated Study Start Date :March 2022Estimated Primary Completion Date :May 2025Estimated Study Completion Date :June 2025"/>
    <x v="4"/>
    <s v="2023-10-31T05:00:00.000Z"/>
    <s v="2024-05-24T13:48:05.337Z"/>
    <s v="638f3c82ca20a101dd404d9e"/>
    <x v="0"/>
  </r>
  <r>
    <s v="JHB_PHRU_46_ENSEMBLE_COV2.S"/>
    <s v="https://trello.com/c/w8NOB4Qj/163-jhbphru46ensemblecov2s"/>
    <s v="Erica Maxine Lazarus_x0009__x0009_NCT04505722_x000a__x000a_The data sharing policy of the Janssen Pharmaceutical Companies of Johnson &amp; Johnson is available at [http://www.janssen.com/clinical-trials/transparency](http://www.janssen.com/clinical-trials/transparency &quot;smartCard-inline&quot;) . As noted on this site, requests for access to the study data can be submitted through Yale Open Data Access (YODA) Project site at [http://yoda.yale.edu](http://yoda.yale.edu &quot;smartCard-inline&quot;)_x000a__x000a_Study finished 30 March 2023_x000a__x000a_44325 participants"/>
    <x v="2"/>
    <s v="2024-03-30T10:04:00.000Z"/>
    <s v="2024-05-24T13:49:55.300Z"/>
    <s v="638f3c82ca20a101dd404d9e"/>
    <x v="0"/>
  </r>
  <r>
    <s v="JHB_PHRU_48_PHOENIx_MDRTB"/>
    <s v="https://trello.com/c/dTt5VgrL/108-jhbphru48phoenixmdrtb"/>
    <s v="[https://actgnetwork.org/studies/a5300bprotecting-households-on-exposure-to-newly-diagnosed-index-multidrug-resistant-tuberculosis-participants-a5300b-i2003b-phoenix/](https://actgnetwork.org/studies/a5300bprotecting-households-on-exposure-to-newly-diagnosed-index-multidrug-resistant-tuberculosis-participants-a5300b-i2003b-phoenix/ &quot;smartCard-inline&quot;)_x000a__x000a_This trial compares how safe and effective 26 weeks of Delamanid (DLM) is versus 26 weeks of isoniazid (INH) for preventing infection with TB or confirmed or probable active infection with TB among high-risk household contacts (HHC). High-risk household contacts are those with HIV or an immune system problem not from HIV like cancer, latent TB infection, and young children below the age of 5 years. The study will last for 96 weeks and all participants will be randomly assigned one of two groups: DLM daily for adults, adolescents, and children, given for 26 weeks; INH daily for adults, adolescents, and children, given for 26 weeks; Pyridoxine (vitamin B6) daily for adults, adolescents, and children, given for 26 weeks."/>
    <x v="2"/>
    <m/>
    <s v="2024-05-24T13:55:15.240Z"/>
    <s v="638f3c82ca20a101dd404d9e"/>
    <x v="0"/>
  </r>
  <r>
    <s v="JHB_WitsRHI_49_RECOVERY_COVID19"/>
    <s v="https://trello.com/c/OI7rOEDh/203-jhbwitsrhi49recoverycovid19"/>
    <s v="Number of participants: 50,000_x000a_Key variable: Treatment with Lopinavir-Ritonavir, Hydroxychloroquine, Corticosteroids, Azithromycin, Colchicine, IV Immunoglobulin (children only), Convalescent plasma, Casirivimab+Imdevimab, Tocilizumab, Aspirin, Baricitinib, Infliximab, Empagliflozin, Sotrovimab, Molnupiravir, Paxlovid or Anakinra (children only) prevents death in patients with COVID-19._x000a__x000a_The study started on March 19, 2020 and the estimated primary completion date is November 2023. The estimated study completion date is November 2032._x000a__x000a_The [http://ClinicalTrials.gov](http://ClinicalTrials.gov &quot;smartCard-inline&quot;)  Identifier for this study is NCT04381936. The sponsor of the study is University of Oxford and the collaborators are UK Research and Innovation, National Institute for Health Research, United Kingdom Wellcome, Bill and Melinda Gates Foundation, Department for International Development, United Kingdom Health Data Research UK, Medical Research Council Population Health Research Unit, and NIHR Clinical Trials Unit Support Funding NIHR Health Protection Research Unit in Emerging and Zoonotic Infections."/>
    <x v="1"/>
    <s v="2024-07-31T10:04:00.000Z"/>
    <s v="2024-05-24T13:59:45.145Z"/>
    <s v="638f3c82ca20a101dd404d9e"/>
    <x v="0"/>
  </r>
  <r>
    <s v="JHB_VIDA_50_PertussisVax_HIV_PregnantWome"/>
    <s v="https://trello.com/c/yvcl6P58/179-jhbvida50pertussisvaxhivpregnantwome"/>
    <s v="Study description: Pertussis vaccination among HIV-infected and HIV-uninfected pregnant women_x000a__x000a_Based on the information available, the Sanofi Pasteur trial TD500058 appears to be a study related to maternal pertussis. The principal investigator listed is Prof. Marta Nunes. The sponsor or organisation appears to be ACRO, the African Clinical Research Organization. Please note that this information is derived from a snippet in search results, and it may not be comprehensive or fully accurate_x000a__x000a_NCT05264662_x000a__x000a_â€Œ_x000a__x000a_Trial set to close in 2025_x000a__x000a_[marta.nunes@wits-vida.org](mailto:marta.nunes@wits-vida.org &quot;â€Œ&quot;) Dr Marta Nunes listed as study contact on clinical[trials.gov](http://trials.gov &quot;â€Œ&quot;)"/>
    <x v="4"/>
    <s v="2024-07-01T06:00:00.000Z"/>
    <s v="2024-03-01T14:54:19.225Z"/>
    <s v="638f3c82ca20a101dd404d9e"/>
    <x v="0"/>
  </r>
  <r>
    <s v="JHB_WRHI_39_HPTN084"/>
    <s v="https://trello.com/c/wTOflZLN/188-jhbwrhi39hptn084"/>
    <s v="HPTN 084_x000a__x000a_NCT03164564_x000a__x000a_Wits Ward 21_x000a__x000a_N=382 (from Ward 21 and another Soweto site)_x000a__x000a_PI: Helen Vera Rees_x000a__x000a_Investigators_x000a__x000a_Study Chair:Sinead Delany-Moretlwe, PhD, DTM&amp;HWits Reproductive Health and HIV Institute CRS (WRHI CRS)_x000a__x000a_Study Chair:Mina Hosseinipour, MD, MPHUniversity of North Carolina (UNC) Project-Malawi, Tidziwe Centre_x000a__x000a_PHRU also a study site:_x000a__x000a_PI: Glenda Elisabeth Gray_x000a__x000a_n=3200_x000a__x000a_Overall 23 sites_x000a__x000a_NCT03164564_x000a__x000a_Data unlikely to be available in next few years"/>
    <x v="1"/>
    <s v="2024-10-31T10:04:00.000Z"/>
    <s v="2024-05-24T14:12:18.307Z"/>
    <s v="638f3c82ca20a101dd404d9e"/>
    <x v="0"/>
  </r>
  <r>
    <s v="JHB_RTI_41_TRIO"/>
    <s v="https://trello.com/c/z6S5phR1/232-jhbrti41trio"/>
    <s v="Recommendation Arianna van Straaten -access to this study."/>
    <x v="1"/>
    <s v="2024-06-10T05:00:00.000Z"/>
    <s v="2024-06-04T12:55:01.645Z"/>
    <s v="638723c479805e007b606ac9"/>
    <x v="1"/>
  </r>
  <r>
    <s v="JHB_WCR_38_SPECTRA"/>
    <s v="https://trello.com/c/OyZ0iEYe/181-jhbwcr38spectra"/>
    <s v="Wits Clinical Research, Johannesburg, Gauteng, South Africa, 2013DJW Research, Krugersdorp, Gauteng, South Africa, 1739_x000a__x000a_Soweto Clinical Trials Centre Soweto, Gauteng, South Africa, 1818_x000a__x000a_Study Type :Interventional Â (Clinical Trial)_x000a__x000a_Actual Enrollment :31454_x000a__x000a_Participants Allocation:Randomized Intervention_x000a__x000a_Model:Parallel Assignment Intervention_x000a__x000a_Model Description:Each subject will receive 2 doses of their assigned treatment on Days 1 and 22. Booster dose will be given at least 4 months after the second dose (Day 1A for booster dose). The treatment will be administered IM in the deltoid region of the upper non-dominant arm_x000a__x000a_Masking:Quadruple (Participant, Care Provider, Investigator, Outcomes Assessor)_x000a__x000a_Primary Purpose:PreventionOfficial_x000a__x000a_Title:A Double-blind, Randomized, Controlled, Phase 2/3 Study to Evaluate the Efficacy, Immunogenicity, and Safety of CpG 1018/Alum-Adjuvanted Recombinant SARS-CoV-2 Trimeric S-protein Subunit Vaccine (SCB-2019) for the Prevention of SARS-CoV-2- Mediated COVID-19 in Participants Aged 12 Years and Older_x000a__x000a_Actual Study Start Date :March 24, 2021_x000a__x000a_Actual Primary Completion Date :September 15, 2022_x000a__x000a_Estimated Study Completion Date :April 2023_x000a__x000a_NCT: NCT04672395 ([https://clinicaltrials.gov/study/NCT04672395](https://clinicaltrials.gov/study/NCT04672395 &quot;smartCard-inline&quot;) )_x000a__x000a_EudraCT Number: 2020-004272-17_x000a__x000a_Article: [https://www.thelancet.com/journals/lancet/article/PIIS0140-6736(22)00055-1/fulltext#%20](https://www.thelancet.com/journals/lancet/article/PIIS0140-6736(22)00055-1/fulltext#%20 &quot;smartCard-inline&quot;)_x000a__x000a_Contact person from WCR: Aysha Badat, Wits Clinical Research, Soweto, Johannesburg, South Africa; Qasim E Bhorat, Soweto Clinical Trials Centre, Johannesburg, South Africa"/>
    <x v="4"/>
    <s v="2024-06-04T10:54:00.000Z"/>
    <s v="2024-06-03T09:58:24.322Z"/>
    <s v="6387246d95be9b0051b584f0"/>
    <x v="2"/>
  </r>
  <r>
    <s v="JHB_CHRU_23_SOLIDARITY"/>
    <s v="https://trello.com/c/CdwJs6KI/150-jhbchru23solidarity"/>
    <s v="Title: Multicenter Adaptive SOLIDARITY - COVID-19 Clinical Trial_x000a__x000a_PI: Mohammed Siddique Rassool [mrassool@witshealth.co.za](mailto:mrassool@witshealth.co.za &quot;â€Œ&quot;)_x000a__x000a_The main hypothesis of the study is not explicitly stated in the abstract or the article. However, the study aimed to evaluate the effectiveness of four repurposed antiviral drugs in large, randomized trials for hospitalized patients with Covid-19Â¹._x000a__x000a_Source: Conversation with Bing, 2023/04/24(1) [https://î€€www.nejm.orgî€/doi/full/10.1056/NEJMoa2023184.](https://xn--www-820q.nejm.xn--org-g30q/doi/full/10.1056/NEJMoa2023184. &quot;â€Œ&quot;) [https://www.nejm.org/doi/full/10.1056/NEJMoa2023184](https://www.nejm.org/doi/full/10.1056/NEJMoa2023184 &quot;â€Œ&quot;)  Accessed 2023/04/24._x000a__x000a_The primary analyses examined in-hospital mortality in the four pairwise comparisons of each trial drug and its control (drug available but patient assigned to the same care without that drug). The rate ratios for death were calculated with stratification according to age and status regarding mechanical ventilation at trial entryÂ¹._x000a__x000a_Source: Conversation with Bing, 2023/04/24(1) [https://î€€www.who.intî€/.../î€€solidarityî€-clinical-î€€trialî€-for-covid-19-treatments/î€€interim-resultsî€.](https://xn--www-820q.who.xn--int-g30q/.../%EE%80%80solidarity%EE%80%81-clinical-%EE%80%80trial%EE%80%81-for-covid-19-treatments/%EE%80%80interim-results%EE%80%81. &quot;â€Œ&quot;) [https://www.who.int/emergencies/diseases/novel-coronavirus-2019/global-research-on-novel-coronavirus-2019-ncov/solidarity-clinical-trial-for-covid-19-treatments/interim-results](https://www.who.int/emergencies/diseases/novel-coronavirus-2019/global-research-on-novel-coronavirus-2019-ncov/solidarity-clinical-trial-for-covid-19-treatments/interim-results &quot;â€Œ&quot;)  Accessed 2023/04/24._x000a__x000a_Patients included in the present analysis are from 30 countries from the six WHO Regions: Albania; Argentina; Austria; Belgium; Brazil; Canada; Colombia; Egypt; Finland; France; Honduras; India; Indonesia; Iran; Ireland; Italy; Kuwait; Lebanon; Lithuania; Luxembourg; Malaysia; North Macedonia; Norway; Pakistan; Peru; Philippines; Saudi Arabia; South Africa; Spain; and Switzerland_x000a__x000a_â€Œ_x000a__x000a_NB:Data sharing After the trial has ended and its results have been reported, anonymized data sharing will occur as per the Policy Statement on Data Sharing by the World Health Organization. When I click on this link I get a 404 error"/>
    <x v="0"/>
    <s v="2024-01-15T05:00:00.000Z"/>
    <s v="2024-06-03T16:25:21.553Z"/>
    <s v="6387250d1b761001c655338f"/>
    <x v="3"/>
  </r>
  <r>
    <s v="JHB_Ezin_25_COVID19_Phase2"/>
    <s v="https://trello.com/c/Ql7cLAxX/157-jhbezin25covid19phase2"/>
    <s v="Francois Venter NCT04532931 n=192_x000a__x000a_co-author: [Mohamed Farouk Chughlay](https://www.thelancet.com/journals/ebiom/article/PIIS2352-3964(22)00504-7/fulltext# &quot;â€Œ&quot;) MMV (now with UCT)_x000a__x000a_Sponsors and Collaborators_x000a__x000a_Sponsor: Shin Poong Pharmaceutical Co. Ltd._x000a__x000a_Collaborators: Medicines for Malaria Venture_x000a__x000a_Official Title: Phase 2, Exploratory, Single Center, Randomized, Open Label, Adaptive Clinical Trial to Compare Safety and Efficacy of Four Different Experimental Drug Regimens to Standard of Care for the Treatment of Symptomatic Outpatients With COVID-19Actual Study Start Date :September 3, 2020Actual Primary Completion Date :August 5, 2021Actual Study Completion Date :August 23, 2021_x000a__x000a_Data sharing statement De-identified participant data are available on reasonable request and with completion of a signed data access agreement from ([https://www](https://www &quot;â€Œ&quot;). [mmv.org/about-us/contact-us](http://mmv.org/about-us/contact-us &quot;â€Œ&quot;)) referencing this publication. Data will be available for at least five years from publication of this study"/>
    <x v="5"/>
    <s v="2024-05-31T05:00:00.000Z"/>
    <s v="2024-06-04T12:47:22.348Z"/>
    <s v="6387250d1b761001c655338f"/>
    <x v="3"/>
  </r>
  <r>
    <s v="JHB_WitsRHI_26_MIRA_Acceptability"/>
    <s v="https://trello.com/c/EVsTv1Aw/215-jhbwitsrhi26miraacceptability"/>
    <s v="Liz Montgomery expressed interest in sharing these data._x000a__x000a_Here is a summary of the study &quot;Microbicide Ring Acceptability&quot;:_x000a__x000a_The study was conducted to evaluate the acceptability and use of a vaginal microbicide ring for HIV prevention in sub-Saharan Africa. The microbicide ring is a novel method of HIV prevention that involves the use of a ring inserted into the vagina that slowly releases an antiretroviral drug to prevent HIV infection._x000a__x000a_The study found that the ring was generally well accepted among women in sub-Saharan Africa. The participants reported that they were comfortable using the ring and that it did not interfere with their daily activities or sexual intercourse. The ring was also found to be easy to insert and remove._x000a__x000a_However, some participants reported concerns about potential side effects and the effectiveness of the ring in preventing HIV. There were also concerns about the ring being noticeable to sexual partners._x000a__x000a_Overall, the study concluded that while the vaginal microbicide ring is a promising tool for HIV prevention in sub-Saharan Africa, further research is needed to address the concerns raised by the participants. This includes providing more information about the safety and effectiveness of the ring, as well as strategies to ensure that the ring is used consistently and correctly._x000a__x000a_Please note that this is a general summary and for more detailed information, you should refer to the full study._x000a__x000a_Dr Kartik Venkatesh [kartik.venkatesh@osumc.edu](mailto:kartik.venkatesh@osumc.edu &quot;â€Œ&quot;)_x000a__x000a_[https://www.rti.org/publication/degrees-disclosure-study-womens-covert-use-diaphragm-mira-hiv-prevention-trial-sub-saharan-africa](https://www.rti.org/publication/degrees-disclosure-study-womens-covert-use-diaphragm-mira-hiv-prevention-trial-sub-saharan-africa &quot;smartCard-inline&quot;)"/>
    <x v="1"/>
    <s v="2024-05-31T05:00:00.000Z"/>
    <s v="2024-05-24T13:32:08.171Z"/>
    <s v="6387250d1b761001c655338f"/>
    <x v="3"/>
  </r>
  <r>
    <s v="JHB_WCRBara_36_CAPSTONE2"/>
    <s v="https://trello.com/c/lk8hSRve/204-jhbwcrbara36capstone2"/>
    <s v="The primary objective of this study is to evaluate the efficacy of a single, oral dose of baloxavir marboxil compared with placebo by measuring the time to improvement of influenza symptoms in patients with influenza presenting within 48 hours of symptom onset. The study was conducted between January 11, 2017 and April 20, 2018 and was sponsored by Shionogi Inc._x000a__x000a_The study record identifier (NCT number) for this study is **NCT02949011**. The study sponsor is **Shionogi Inc.** and the Principal Investigator (PI) is not mentioned in the study record. The actual enrollment for this study was **2184 participants**._x000a__x000a_there were 8 study sites in South Africa that participated in the CAPSTONE 2 trial:_x000a__x000a_Shionogi Research Site Boksburg, Gauteng, South Africa_x000a_Shionogi Research Site Johannesburg, Gauteng, South Africa_x000a_Shionogi Research Site Pretoria, Gauteng, South Africa_x000a_Shionogi Research Site Randburg, Gauteng, South Africa_x000a_Shionogi Research Site Tembisa, Gauteng, South Africa_x000a_Shionogi Research Site Durban, KwaZulu-Natal, South Africa_x000a_Shionogi Research Site Thabazimbi, Limpopo, South Africa_x000a_Shionogi Research Site Welkom, Free State, South Africa_x000a__x000a_According to the clinical trial results published in The Lancet, a total of 278 patients were enrolled in the CAPSTONE 2 trial from South African sites. This represents 6.9% of the total 4,023 participants in the trial._x000a__x000a_Aysha Badat_x000a__x000a_[Retout S, De Buck S, Jolivet S, Duval V, Cosson V. A Pharmacokinetics-Time to Alleviation of Symptoms Model to Support Extrapolation of Baloxavir Marboxil Clinical Efficacy in Different Ethnic Groups with Influenza A or B. Clin Pharmacol Ther. 2022 Aug;112(2):372-381. doi: 10.1002/cpt.2648. Epub 2022 Jun 10.](https://classic.clinicaltrials.gov/ct2/bye/rQoPWwoRrXS9-i-wudNgpQDxudhWudNzlXNiZip9Ei7ym67VZRF8LK48cKCBA6h9Ei4L3BUgWwNG0it. &quot;â€Œ&quot;)_x000a__x000a_[Ison MG, Portsmouth S, Yoshida Y, Shishido T, Mitchener M, Tsuchiya K, Uehara T, Hayden FG. Early treatment with baloxavir marboxil in high-risk adolescent and adult outpatients with uncomplicated influenza (CAPSTONE-2): a randomised, placebo-controlled, phase 3 trial. Lancet Infect Dis. 2020 Oct;20(10):1204-1214. doi: 10.1016/S1473-3099(20)30004-9. Epub 2020 Jun 8.](https://classic.clinicaltrials.gov/ct2/bye/rQoPWwoRrXS9-i-wudNgpQDxudhWudNzlXNiZip9Ei7ym67VZRFnLR0BaKC8A6h9Ei4L3BUgWwNG0it. &quot;â€Œ&quot;)_x000a__x000a_Login details: [https://search.vivli.org/?_gl=1*182ausr*_ga*NDQ3MzIwMTcyLjE2OTk1MzMwOTQ.*_ga_X602XR2LVE*MTY5OTUzMzA5NC4xLjAuMTY5OTUzMzA5NC42MC4wLjA.*_ga_GY0MYYHERQ*MTY5OTUzMzA5NC4xLjAuMTY5OTUzMzA5NC4wLjAuMA..&amp;_ga=2.243215232.308898460.1699533094-447320172.1699533094](https://search.vivli.org/?_gl=1*182ausr*_ga*NDQ3MzIwMTcyLjE2OTk1MzMwOTQ.*_ga_X602XR2LVE*MTY5OTUzMzA5NC4xLjAuMTY5OTUzMzA5NC42MC4wLjA.*_ga_GY0MYYHERQ*MTY5OTUzMzA5NC4xLjAuMTY5OTUzMzA5NC4wLjAuMA..&amp;_ga=2.243215232.308898460.1699533094-447320172.1699533094 &quot;smartCard-inline&quot;)                                                                               Username: [rmotana@wrhi.ac.za](mailto:rmotana@wrhi.ac.za &quot;â€Œ&quot;)                                                                                        Password: HE2@TCentre"/>
    <x v="6"/>
    <s v="2024-05-28T05:00:00.000Z"/>
    <s v="2024-06-03T16:11:20.558Z"/>
    <s v="6387250d1b761001c655338f"/>
    <x v="3"/>
  </r>
  <r>
    <s v="JHB_WCRBara_32_ORIGIN"/>
    <s v="https://trello.com/c/olSdFDNU/202-jhbwcrbara32origin"/>
    <s v="Primary objectives: To determine whether insulin glargine-mediated normoglycemia can reduce cardiovascular morbidity and/or mortality in people at high risk for vascular disease with either Impaired Fasting Glucose (IFG), Impaired Glucose Tolerance (IGT) or early type 2 diabetes To determine whether omega-3 fatty acids can reduce cardiovascular mortality in people with IFG, IGT or early type 2 diabetes Number of participants: 12537 Location relevant to South Africa: not clear but they mention Sanofi in Midrand The study was conducted by the Population Health Research Institute in Hamilton, Ontario (Canada). Key variable being measured: Cardiovascular morbidity and/or mortality Principal investigator (PI): Sanofi_x000a__x000a_PI Aysha Badat WCR Bara Clinical Trial Centre_x000a__x000a_[https://witsrhi1.box.com/s/q3unrdlbw7e2uhkaonzbywwos134i8v4](https://witsrhi1.box.com/s/q3unrdlbw7e2uhkaonzbywwos134i8v4 &quot;smartCard-inline&quot;)_x000a__x000a_[abadat@witshealth.co.za](mailto:abadat@witshealth.co.za &quot;â€Œ&quot;)_x000a__x000a_[https://clinicaltrials.gov/study/NCT00069784?term=NCT00069784&amp;rank=1](https://clinicaltrials.gov/study/NCT00069784?term=NCT00069784&amp;rank=1 &quot;smartCard-inline&quot;)_x000a__x000a_NCT00069784"/>
    <x v="7"/>
    <s v="2024-05-31T05:00:00.000Z"/>
    <s v="2024-06-04T12:53:04.397Z"/>
    <s v="6387250d1b761001c655338f"/>
    <x v="3"/>
  </r>
  <r>
    <s v="JHB_PHRU_34_PMTCT_HIV1"/>
    <s v="https://trello.com/c/UfTOu7nB/159-jhbphru34pmtcthiv1"/>
    <s v="James Alasdair McIntyre_x0009__x0009_NCT00144183_x0009_n=407 in 5 locations (only Soweto in JHB)_x000a__x000a_Study Type :Interventional Â (Clinical Trial)Enrollment :407 participantsAllocation:RandomizedIntervention Model:Parallel AssignmentMasking:None (Open Label)Primary Purpose:PreventionOfficial Title:An Open-label Study Evaluating the Resistance Profile of Single Dose Nevirapine(NVP) When Combined With a 4 or 7 Day Course of CombivirÂ® (ZDV/3TC) Compared to Single Dose Nevirapine for the Prevention of Mother to Child Transmission (pMTCT) of HIV - Treatment Options Preservation Study (T.O.P.S.)Study Start Date :January 2003Actual Primary Completion Date :January 2007Study Completion Date :January 2007_x000a__x000a_NB: Niel said he would help accessing PHRU datasets"/>
    <x v="6"/>
    <s v="2024-01-15T06:00:00.000Z"/>
    <s v="2024-06-04T12:53:21.458Z"/>
    <s v="6387250d1b761001c655338f"/>
    <x v="3"/>
  </r>
  <r>
    <s v="JHB_IeDEA_28_ Themba_Lethu"/>
    <s v="https://trello.com/c/MWjhb7eh/99-jhbiedea28-thembalethu"/>
    <s v="1. **Purpose and Establishment**: The Themba Lethu Clinical Cohort was set up to facilitate large patient-level analyses from a single HIV treatment site. Its primary goal is to evaluate National Treatment Guidelines in South Africa and address questions of national and international policy relevance. It integrates economic and epidemiological perspectives into HIV researchâ€‹â€‹â€‹â€‹._x000a_2. **Location and Impact**: The cohort is based at the Helen Joseph Hospital in Johannesburg. It has significantly contributed to understanding the effectiveness of HIV treatment rollout. This contribution is not only local but also extends to broader regional and national evaluations, particularly through collaborations with the International Epidemiologic Database to Evaluate AIDS (IeDEA)â€‹â€‹._x000a_3. **Patient Demographics and Results**: Over time, the Themba Lethu Clinical Cohort has grown significantly. It started with less than 2,000 patients in 2004/2005 and expanded to more than 9,000 patients. The cohort, at one point, included over 13,000 patients, demonstrating positive outcomes in terms of mortality, lost to follow-up (LTF), viral suppression, and other factors over the yearsâ€‹â€‹._x000a__x000a_Apply for relevant studies from this network"/>
    <x v="8"/>
    <s v="2024-06-05T04:00:00.000Z"/>
    <s v="2024-06-03T10:09:49.057Z"/>
    <s v="6387252b277e5d0042ec43e9"/>
    <x v="4"/>
  </r>
  <r>
    <s v="JHB_PHRU_27_HVTN703_HPTN081"/>
    <s v="https://trello.com/c/Vt0J7sHL/170-jhbphru27hvtn703hptn081"/>
    <s v="Fatima Laher_x000a__x000a_NCT02568215_x000a__x000a_n= 1924 in 23 sites_x000a__x000a_there were **120** participants in Chris Hani Baragwanath Hospital in the NCT02568215 trial. The Chris Hani Baragwanath Hospital was one of the five study sites in South Africa. The other four study sites were:_x000a__x000a_- **Agincourt Health and Demographic Surveillance System**_x000a_- **KwaZulu-Natal Perinatal HIV Research Unit**_x000a_- **Nelson Mandela Academic Hospital**_x000a_- **University of KwaZulu-Natal Clinic**"/>
    <x v="9"/>
    <s v="2024-06-06T05:00:00.000Z"/>
    <s v="2024-05-28T08:27:13.237Z"/>
    <s v="6387252b277e5d0042ec43e9"/>
    <x v="4"/>
  </r>
  <r>
    <s v="JHB_PHRU_24_HVTN702"/>
    <s v="https://trello.com/c/DQFAzaow/165-jhbphru24hvtn702"/>
    <s v="Glenda Elisabeth Gray_x0009__x0009_NCT02968849_x0009_n= 5407 in 14 sites_x000a__x000a_Data is publicly available but the location data is not dis-aggregated_x000a__x000a_Soweto HVTN CRSJohannesburg, Gauteng, South Africa, 1862_x000a__x000a_Kliptown Soweto CRSJohannesburg, Gauteng, South Africa, 1409_x000a__x000a_Sponsors and Collaborators_x000a__x000a_National Institute of Allergy and Infectious Diseases (NIAID)_x000a__x000a_Sanofi_x000a__x000a_GlaxoSmithKline_x000a__x000a_Bill and Melinda Gates Foundation_x000a__x000a_Investigators_x000a__x000a_Study Chair:Glenda Gray, MDPerinatal HIV Research Unit (PHRU), Chris Hani Baragwanath Hospital_x000a__x000a_â€Œ_x000a__x000a_Mail subject: RE: Large-scale request that came into the Atlas queue: Data Request for HE2AT Center Project"/>
    <x v="9"/>
    <s v="2024-06-06T06:00:00.000Z"/>
    <s v="2024-06-03T10:04:28.158Z"/>
    <s v="6387252b277e5d0042ec43e9"/>
    <x v="4"/>
  </r>
  <r>
    <s v="JHB_PHRU_35_HVTN705_HPX2008"/>
    <s v="https://trello.com/c/ZpEOcV8X/162-jhbphru35hvtn705hpx2008"/>
    <s v="HVTN 705/HPX2008 â€“ Soweto-Bara Clinical Research Site_x0009_ Fatima Laher_x0009__x0009_NCT03060629_x0009_HVTN 705/HPX2008_x000a__x000a_Trial title: A Study to Assess the Efficacy of a Heterologous Prime/Boost Vaccine Regimen of Ad26.Mos4.HIV and Aluminum Phosphate-Adjuvanted Clade C gp140 in Preventing Human Immunodeficiency Virus (HIV) -1 Infection in Women in Sub-Saharan Africa_x000a_Study status: Completed_x000a_Study type: Phase 2b, randomized, double-blind, placebo-controlled_x000a_Study objective: To assess the preventive vaccine efficacy (VE) of a heterologous prime/boost vaccine regimen of Ad26.Mos4.HIV and aluminum phosphate-adjuvanted Clade C gp140 in preventing HIV-1 infection in HIV-seronegative women residing in sub-Saharan Africa._x000a_Study population: HIV-seronegative women aged 18 to 45 years who were at high risk of HIV infection._x000a_Interventions: Participants were randomly assigned to receive one of two treatments:_x000a_Vaccine regimen: Ad26.Mos4.HIV at Months 0 and 2, followed by aluminum phosphate-adjuvanted Clade C gp140 at Month 4_x000a_Placebo_x000a_Primary outcome: VE of the vaccine regimen against HIV-1 infection_x000a_Secondary outcomes:_x000a_Safety_x000a_Immunogenicity_x000a_The trial was conducted in 11 countries in sub-Saharan Africa and enrolled over 2,600 participants. The results of the trial showed that the vaccine regimen did not meet its primary endpoint of preventing HIV-1 infection. However, the vaccine regimen was found to be safe and well-tolerated._x000a__x000a_The full results of the trial were published in the journal The Lancet in 2021. The study was funded by Janssen Vaccines &amp; Prevention B.V., part of the Janssen Pharmaceutical Companies of Johnson &amp; Johnson._x000a__x000a_The Soweto-Bara Clinical Research Site was one of the 11 study sites in sub-Saharan Africa that participated in the HVTN 705/HPX2008 trial. The site was located in Soweto, South Africa, and was led by Dr. Fatima Laher. The site enrolled a total of 200 participants in the trial._x000a__x000a_[https://avac.org/trial/hvtn-705-hpx2008-cr108263-imbokodo/](https://avac.org/trial/hvtn-705-hpx2008-cr108263-imbokodo/ &quot;smartCard-inline&quot;)"/>
    <x v="9"/>
    <s v="2024-06-06T05:00:00.000Z"/>
    <s v="2024-05-28T08:26:58.873Z"/>
    <s v="6387252b277e5d0042ec43e9"/>
    <x v="4"/>
  </r>
  <r>
    <s v="JHB_PHRU_29_HVTN503_Soweto"/>
    <s v="https://trello.com/c/7I2GzT28/160-jhbphru29hvtn503soweto"/>
    <s v="Glenda Elisabeth Gray_x0009__x0009_NCT00413725_x000a__x000a_Locations_x000a__x000a_South AfricaSoweto HVTN CRSJohannesburg, Gauteng, South Africa, 1862MedCRU CRSPretoria, Gauteng, South Africa, 0204eThekwini CRSDurban, KwaZulu-Natal, South Africa, 4001Emavundleni CRSCape Town, Western Cape Province, South Africa, 7750CAPRISA Aurum CRSKlerksdorp, South Africa, 2571_x000a__x000a_Sponsors and Collaborators_x000a__x000a_National Institute of Allergy and Infectious Diseases (NIAID)_x000a__x000a_HIV Vaccine Trials Network_x000a__x000a_Investigators_x000a__x000a_Study Chair:Glenda Gray, MDChris Hani Baragwanath HospitalStudy Chair:James Kublin, MD, MPHFred Hutchinson Cancer Center"/>
    <x v="9"/>
    <s v="2024-06-06T05:00:00.000Z"/>
    <s v="2024-06-03T10:20:11.327Z"/>
    <s v="6387252b277e5d0042ec43e9"/>
    <x v="4"/>
  </r>
  <r>
    <s v="JHB_PHRU_31_VOICE_PMTCT"/>
    <s v="https://trello.com/c/nQPDelPG/124-jhbphru31voicepmtct"/>
    <s v="VOICE trial and some PMTCT data_x000a__x000a_The VOICE PMTCT trial was a clinical research study led by Dr. Sharon Hillier that aimed to evaluate different methods of preventing mother-to-child transmission of HIV in sub-Saharan Africa. PMTCT stands for &quot;Prevention of Mother-To-Child Transmission&quot; of HIV._x000a__x000a_The trial was conducted between 2009 and 2012 and enrolled 5,029 HIV-negative women from South Africa, Uganda, and Zimbabwe who were at high risk of acquiring HIV. The participants were randomly assigned to one of five study groups: three groups received different HIV prevention methods (daily oral tablets of either tenofovir, Truvada, or tenofovir plus emtricitabine), one group received a placebo pill, and one group received a vaginal gel containing tenofovir._x000a__x000a_The primary objective of the trial was to determine the safety and efficacy of these methods in preventing HIV transmission from mother to child during breastfeeding. However, the trial results showed that none of the methods tested were effective in reducing HIV transmission rates._x000a__x000a_Despite these disappointing results, the VOICE PMTCT trial provided valuable insights into the challenges of implementing effective HIV prevention strategies in resource-limited settings. Dr. Hillier and her team continue to conduct important research on HIV prevention and treatment, including ongoing studies of long-acting antiretroviral drugs and novel strategies for preventing HIV transmission._x000a__x000a_â€Œ_x000a__x000a_NB: Thes requires HREC approval for secondary analysis. This request applies to VOICE, HOPE and ASPIRE"/>
    <x v="1"/>
    <s v="2024-04-29T06:00:00.000Z"/>
    <s v="2024-06-03T10:19:50.519Z"/>
    <s v="6387252b277e5d0042ec43e9"/>
    <x v="4"/>
  </r>
  <r>
    <s v="JHB_WitsRHI_40_ASPIRE"/>
    <s v="https://trello.com/c/fnTZsiqe/230-jhbwitsrhi40aspire"/>
    <s v="Added as a new study based on the discussions with Ariane:_x000a__x000a_[https://www.mtnstopshiv.org/news/mtn-020-aspire](https://www.mtnstopshiv.org/news/mtn-020-aspire &quot;smartCard-inline&quot;)_x000a__x000a_he MTN-020 (ASPIRE) trial was a Phase 3, multi-site, randomized, double-blind, placebo-controlled clinical trial designed to evaluate the safety and efficacy of the dapivirine vaginal ring (VR) for the prevention of HIV-1 infection in healthy, sexually active, HIV-negative women. The study aimed to determine the effectiveness of a dapivirine (25 mg) silicone elastomer matrix VR, inserted once every 4 weeks, in preventing HIV-1 infection and to assess its safety compared to a placebo VR._x000a__x000a_A total of 2,629 participants were enrolled and randomized to receive either the dapivirine VR or a placebo VR. Participants used the VRs until 120 HIV-1 seroconversions were observed, with a minimum expected use of 12 months. The trial completed follow-up on June 25, 2015, and primary results were presented in February 2016, with the primary manuscript published in the New England Journal of Medicine._x000a__x000a_**Primary Results**_x000a__x000a_The trial demonstrated that the monthly dapivirine VR was safe and effective for HIV prevention. There were no significant differences in primary safety endpoints between the study arms, and sexually transmitted infections occurred at similar rates. A total of 168 incident HIV-1 infections occurred during the product use period, with a 27% relative reduction in HIV-1 acquisition in the dapivirine ring arm compared to the placebo arm._x000a__x000a_Subgroup analyses showed that HIV-1 protection differed significantly by age, with women â‰¥25 years of age demonstrating 61% protection, while those &lt;25 years of age had no statistically significant reduction in HIV-1 incidence. Further analyses indicated that lack of HIV-1 protection and lower adherence were limited to participants â‰¤21 years of age._x000a__x000a_**Study Details**_x000a__x000a_- **Protocol Chair(s):** Jared Baeten (Protocol Chair), Thesla Palanee-Phillips (Protocol Co-Chair)_x000a_- **Protocol Title:** A Multi-Center, Randomized, Double-Blind, Placebo-Controlled Phase 3 Safety and Effectiveness Trial of a Vaginal Matrix Ring Containing Dapivirine for the Prevention of HIV-1 Infection in Women_x000a_- **DAIDS Protocol ID:** 11840_x000a_- **Status:** Participants off Study and Primary Analysis Completed_x000a_- **Formulation:** Vaginal Ring_x000a_- **Drug:** Dapivirine, Placebo_x000a_- **Study Focus/Product Administration:** Vaginal_x000a_- **Study Type:** Behavioral, Efficacy, Safety_x000a_- **Study Phase:** Phase III_x000a_- **Countries:** Malawi, South Africa, Uganda, Zimbabwe_x000a_- **Population:** Women (cisgender women, nonâ€transgender women)_x000a_- **Funder(s):** Division of AIDS, US National Institute of Allergy and Infectious Diseases, US National Institutes of Health_x000a_- **Sponsor(s):** IPM_x000a_- **Other Study Info:** Phase 3, multi-site, two-arm, randomized (1:1), double-blind, placebo-controlled trial_x000a__x000a_This summary provides an overview of the MTN-020 (ASPIRE) trial, focusing on its objectives, primary results, and key details."/>
    <x v="1"/>
    <s v="2024-05-28T05:00:00.000Z"/>
    <s v="2024-06-03T10:00:19.410Z"/>
    <s v="6387252b277e5d0042ec43e9"/>
    <x v="4"/>
  </r>
  <r>
    <s v="JHB_WitsRHI_011_ECHO"/>
    <s v="https://trello.com/c/eVdq3LSC/4-jhbwitsrhi011echo"/>
    <s v="Clinical Trial Number: NCT02550067_x000a__x000a_Study Title: The Evidence for Contraceptive Options and HIV Outcomes Trial (ECHO)_x000a__x000a_Principal Investigator: Thesla Pelanee_x000a__x000a_Sponsor: FHI 360_x000a__x000a_Collaborators:_x000a__x000a_- University of Washington_x000a_- Wits Reproductive Health and HIV Institute_x000a_- World Health Organization_x000a_- Madibeng Centre for Research_x000a_- Maternal Adolescent and Child Health Research_x000a_- Qhakaza Mbokodo Research Clinic_x000a_- The Aurum Institute NPC_x000a_- Effective Care Research Unit_x000a_- Emavundleni Research Centre_x000a_- Setshaba Research Centre_x000a_- University of North Carolina, Chapel Hill_x000a_- Family Life Association of Swaziland_x000a_- ICAP Columbia University_x000a_- Kenya Medical Research Institute_x000a__x000a_Responsible Party: FHI 360_x000a__x000a_Study Type: Interventional Clinical Trial_x000a__x000a_Enrollment: 7,830 participants_x000a__x000a_Study Design: Participants are randomly assigned to different treatment groups in a parallel manner. The study is open-label, meaning that both the participants and researchers are aware of the treatment group assignments. The primary purpose of the study is to compare HIV incidence and contraceptive benefits among women using Depot Medroxyprogesterone Acetate (DMPA), Levonorgestrel (LNG) Implant, and Copper Intrauterine Devices (IUDs)._x000a__x000a_Key Dates:_x000a__x000a_- Study started on December 14, 2015_x000a_- Primary completion date: October 31, 2018_x000a_- Study completed on October 31, 2018_x000a__x000a_Study Location: Wits Reproductive Health and HIV Institute (WRHI), Johannesburg, South Africa"/>
    <x v="1"/>
    <s v="2023-10-30T06:00:00.000Z"/>
    <s v="2024-05-24T13:40:32.165Z"/>
    <s v="638726fbabcb3902e108d16e"/>
    <x v="5"/>
  </r>
  <r>
    <s v="JHB_WitsRHI_014_FACTS001"/>
    <s v="https://trello.com/c/tOqbi804/5-jhbwitsrhi014facts001"/>
    <s v="Study title: A Phase III, Multi-Centre, Randomised Controlled Trial to Assess the Safety and Effectiveness of the Vaginal Microbicide 1% Tenofovir Gel in the Prevention of Human Immunodeficiency Virus Type 1 Infection inÂ  Young Women, and to Examine Effects of the Microbicide on the Incidence of Herpes Simplex Virus Type 2 Infection (FACTS)_x000a__x000a_N=2200_x000a__x000a_â€Œ_x000a__x000a_Manuscript/Presentation Concept Proposal for the HEAT Center Send to Sinead 11/28_x000a__x000a_The FACTS 001 was launched in October 2011, and will enrol a minimum of 2,200 HIV-uninfected women aged 18-30 at nine clinical trial sites across South Africa._x000a__x000a_The FACTS 001 study was conducted to evaluate the efficacy of a vaginal microbicide gel containing 1% tenofovir in preventing HIV-1 acquisition in women. The study was conducted between 2005 and 2010 in South Africa. The study found that the tenofovir gel reduced HIV-1 acquisition by 39% overall and by 54% in women with high adherence. The study concluded that the tenofovir gel could be an effective method for preventing HIV-1 acquisition in women._x000a__x000a_[FACTS 001 Study | FACTS Consortium (wordpress.com)](https://factsconsortium.wordpress.com/facts-001-study/#:~:text=The%20FACTS%20001%20study%20is%20a%20phase%20III%2C,virus%20%28HSV-2%29%2C%20the%20virus%20that%20causes%20genital%20herpes. &quot;â€Œ&quot;)_x000a__x000a_NCT01386294_x000a__x000a_[Safety and Effectiveness of Tenofovir Gel in the Prevention of Human Immunodeficiency Virus (HIV-1) Infection in Women and the Effects of Tenofovir Gel on the Incidence of Herpes Simplex Virus (HSV-2) Infection - Full Text View - ClinicalTrials.gov](https://clinicaltrials.gov/ct2/show/NCT01386294?term=FACTS001&amp;draw=2&amp;rank=2 &quot;â€Œ&quot;)_x000a__x000a_The study will evaluate several secondary endpoints that bear directly on potential risks and benefits of vaginal tenofovir gel use. These include incidence of HIV-1 infection, incidence of pregnancy loss, prematurity, low birth weight, and major and minor congenital anomalies. All women will be evaluated for the rates of adverse events and the rate of HIV seroconversion"/>
    <x v="1"/>
    <s v="2023-11-30T05:00:00.000Z"/>
    <s v="2024-06-03T10:33:32.485Z"/>
    <s v="638726fbabcb3902e108d16e"/>
    <x v="5"/>
  </r>
  <r>
    <s v="JHB_DPHRU_013_BMDCART"/>
    <s v="https://trello.com/c/UVydeAgp/148-jhbdphru013bmdcart"/>
    <s v="Title: Bone Mineral Density Changes Amongst Combination Antiretroviral Therapy_x000a__x000a_CA: Matthew M [mhamill6@jhu.edu](mailto:mhamill6@jhu.edu &quot;â€Œ&quot;)_x000a__x000a_Co-author: Kate Ward [kw@mrc.soton.ac.uk](mailto:kw@mrc.soton.ac.uk &quot;â€Œ&quot;)_x000a__x000a_NCT number: [https://www.ncbi.nlm.nih.gov/pmc/articles/PMC7202419/](https://www.ncbi.nlm.nih.gov/pmc/articles/PMC7202419/ &quot;smartCard-inline&quot;) _x0009_I_x000a__x000a_NB: think this is eligible. They had 247 pts in Soweto, but I'm not sure if only 110 of the total were followed up for 2 years._x000a__x000a_to check Linked to Shane Norris DPHRUâ€¦.advised to check with UK PI this is an independent study from the cohort_x000a__x000a_Data availability:"/>
    <x v="10"/>
    <s v="2024-06-06T05:00:00.000Z"/>
    <s v="2024-06-04T12:42:29.622Z"/>
    <s v="645269c9bee3ad41053c8d52"/>
    <x v="6"/>
  </r>
  <r>
    <s v="JHB_MTN-SCHARP_012_CHARISMA"/>
    <s v="https://trello.com/c/1TixMr8J/183-jhbmtn-scharp012charisma"/>
    <s v="Community Health clinic model for Agency in Relationships and Safer Microbicide_x000a_Adherence (CHARISMA) Expansion Study_x000a__x000a_CHARISMA - WRHI_x000a__x000a_Thesla Palanee_x000a__x000a_Other PI listed on CT: Elizabeth Montgomery, PhD, MHSRTI International_x000a__x000a_NCT04092114 (n.b: This NCT is for CHARISMA Expanded study. â€œThis study is an expansion of the CHARISMA intervention pilot study which was appended to the Microbicide Trials Network (MTN)-025 HOPE studyâ€)_x000a__x000a_n=407"/>
    <x v="1"/>
    <s v="2024-06-07T06:00:00.000Z"/>
    <s v="2024-06-04T12:35:00.337Z"/>
    <s v="645269c9bee3ad41053c8d52"/>
    <x v="6"/>
  </r>
  <r>
    <s v="JHB_SCHARP_HVTN 704/HPTN 085_22_VRC01_Phase2b"/>
    <s v="https://trello.com/c/sYRNIsYY/158-jhbscharphvtn-704-hptn-08522vrc01phase2b"/>
    <s v="Study title: A phase 2b study to evaluate the safety and efficacy of VRC01 broadly neutralizing monoclonal antibody in reducing acquisition of HIV-1 infection among men and transgender persons who have sex with men_x000a__x000a_HVTN 704/HPTN 085:  Penny Moore_x000a__x000a_NCT02568215_x0009_Same as JHB\_Lynn\_1051 - 4/21 sites in Joburg with 1924 participants enrolled. Likely an include. 21 sites in and outside JHB leading to ave of N=91_x000a__x000a_Study Type :Interventional Â (Clinical Trial)Actual Enrollment :1924 participantsAllocation:RandomizedIntervention Model:Parallel AssignmentMasking:Quadruple (Participant, Care Provider, Investigator, Outcomes Assessor)Primary Purpose:PreventionOfficial Title:A Phase 2b Study to Evaluate the Safety and Efficacy of VRC01 Broadly Neutralizing Monoclonal Antibody in Reducing Acquisition of HIV-1 Infection in Women in Sub-Saharan AfricaActual Study Start Date :May 2016Actual Primary Completion Date :March 3, 2021Actual Study Completion Date :March 3, 2021_x000a__x000a_NB: data available on: [https://atlas.scharp.org/cpas/project/HVTN%20Public%20Data/HVTN%20704%20HPTN%20085%20and%20HVTN%20703%20HPTN%20081%20AMP/begin.view](https://atlas.scharp.org/cpas/project/HVTN%20Public%20Data/HVTN%20704%20HPTN%20085%20and%20HVTN%20703%20HPTN%20081%20AMP/begin.view &quot;smartCard-inline&quot;)"/>
    <x v="9"/>
    <s v="2024-04-22T05:00:00.000Z"/>
    <s v="2024-05-30T07:42:36.003Z"/>
    <s v="6385d366c017eb02f56abea8"/>
    <x v="7"/>
  </r>
  <r>
    <s v="JHB_VIDA_008_HCWCovidStudy"/>
    <s v="https://trello.com/c/CPxuvcps/105-jhbvida008hcwcovidstudy"/>
    <s v="Study title: Severe Acute Respiratory Syndrome Coronavirus 2 Infection Among Healthcare Workers in South Africa: A Longitudinal Cohort Study_x000a__x000a_â€Œ_x000a__x000a_This study investigated severe acute respiratory syndrome coronavirus 2 (SARS-CoV-2) infections in a cohort of 396 healthcare workers (HCWs) from 5 departments at Chris Hani Baragwanath Hospital, South Africa from April to September 2020. The study found that overall, 34.6% of HCWs had polymerase chain reactionâ€“confirmed SARS-CoV-2 infection (132.1 [95% confidence interval, 111.8â€“156.2] infections per 1000 person-months); an additional 27 infections were identified by serology. HCWs in the internal medicine department had the highest rate of infection (61.7%). Among polymerase chain reactionâ€“confirmed cases, 10.4% remained asymptomatic, 30.4% were presymptomatic, and 59.3% were symptomatic. The study concluded that understanding HCWsâ€™ SARS-CoV-2 exposure and risk of infection is critical for characterizing virus transmission patterns, risk factors for infection, and to inform the effectiveness of infection prevention and control practices._x000a__x000a_[Severe Acute Respiratory Syndrome Coronavirus 2 Infection Among Healthcare Workers in South Africa: A Longitudinal Cohort Study - PMC (nih.gov)](https://www.ncbi.nlm.nih.gov/pmc/articles/PMC8135922/ &quot;â€Œ&quot;)"/>
    <x v="4"/>
    <s v="2024-05-31T05:00:00.000Z"/>
    <s v="2024-05-30T11:21:13.221Z"/>
    <s v="6387290816c8c30500490c14"/>
    <x v="8"/>
  </r>
  <r>
    <s v="JHB_VIDA_007_ChadOx1."/>
    <s v="https://trello.com/c/995m9KIb/9-jhbvida007chadox1"/>
    <s v="An adaptive phase I/II randomized placebo-controlled trial to determine the safety, immunogenicity, and efficacy of the non-replicating ChadOx1 SARSCoV-2 vaccine in South African adults living without HIV and the safety and immunogenicity in adults living with HIV_x000a_Clinical trials number: NCT04444674_x000a_Number enrolled: 2130 in Johannesburg_x000a_"/>
    <x v="4"/>
    <s v="2024-05-31T05:00:00.000Z"/>
    <s v="2024-05-30T11:21:31.989Z"/>
    <s v="6387290816c8c30500490c14"/>
    <x v="8"/>
  </r>
  <r>
    <s v="Pfizer GBS studies: 28OB, GBS-COP (possible) : VIDA"/>
    <s v="https://trello.com/c/UF6wBRKU/106-pfizer-gbs-studies-28ob-gbs-cop-possible-vida"/>
    <s v="Pfizer has conducted multiple studies related to Guillain-BarrÃ© Syndrome (GBS), including the 28OB and GBS-COP VIDA studies._x000a__x000a_The 28OB study was a phase III, randomized, double-blind, placebo-controlled trial designed to evaluate the safety and efficacy of a candidate vaccine for Group B Streptococcus (GBS) in pregnant women. GBS is a common bacterium that can cause serious infections in newborns, including sepsis and meningitis. The study included over 3,600 pregnant women from 18 countries, and found that the vaccine was effective in preventing GBS infection in infants._x000a__x000a_The GBS-COP VIDA study was a retrospective cohort study that evaluated the risk of GBS following vaccination with the Pfizer-BioNTech COVID-19 vaccine. The study analyzed data from over 100 million vaccinated individuals in the United States, and found that the risk of GBS following vaccination with the Pfizer-BioNTech COVID-19 vaccine was very low, with an estimated 1-2 cases per million vaccinated individuals. The study concluded that the benefits of vaccination against COVID-19 far outweigh the risks of GBS_x000a__x000a_28OB took place in Wits Reproductive Health and HIV InstituteJohannesburg, Gauteng, South Africa, 2001Respiratory and Meningeal Pathogens Research Unit (RMPRU)Soweto, Gauteng, South Africa, 1862Empilweni Services and Research Unit (ESRU)Coronationville, Johannesburg, South Africa, 2093Charlotte Maxeke Johannesburg Academic HospitalParktown, Johannesburg, South Africa, 2196"/>
    <x v="4"/>
    <s v="2024-05-31T05:00:00.000Z"/>
    <s v="2024-05-30T11:21:48.119Z"/>
    <s v="6387290816c8c30500490c14"/>
    <x v="8"/>
  </r>
  <r>
    <s v="JHB_Aurum_009_Tholimpilo"/>
    <s v="https://trello.com/c/wWLpHrNT/126-jhbaurum009tholimpilo"/>
    <s v="Study title: An Evaluation of Strategies to Accelerate Entry-into-care following HIV Diagnosis_x000a_among Adults in Gauteng and Limpopo Provinces, South Africa_x000a__x000a_N=1250_x000a__x000a_â€Œ_x000a__x000a_Dear all,_x000a__x000a_â€Œ_x000a__x000a_I wanted to share a summary of our recent productive meeting with Salome Charalambous and Chris Hoffman, where we discussed the Heat Center project. The project aims to understand the relationship between climate data (primarily temperature) and health data in Johannesburg and Abhijan. The project requires clinical trial and cohort data sets from 2000-2022 with geolocation information, demographic information, lab data, and blood samples._x000a__x000a_â€Œ_x000a__x000a_During the meeting, we covered the following topics:_x000a__x000a_1. The Heat Center project: I introduced the project, outlining its main aims and the data needed._x000a_2. Finding relevant studies: Salome and I discussed potential studies that might contribute to the project, including TB trials (especially Rifaquin), COVID trials, and HIV trials._x000a_3. Data sharing and governance: We also talked about the process of obtaining and sharing the data, such as legal agreements and privacy assurances._x000a__x000a_â€Œ_x000a__x000a_The way forward for this project is as follows:_x000a__x000a_1. Identify studies with relevant data: Salome and I will work together to find suitable databases before proceeding further with the project._x000a_2. Data sharing process: We will engage with our legal teams and data holders to establish data transfer or data sharing agreements._x000a_3. Address potential issues: The team will discuss any concerns, such as capturing addresses electronically, with the data sharing committee before making any decisions._x000a__x000a_â€Œ_x000a__x000a_As an action item, I will send the presentation to Salome for the upcoming data governance meeting. In the meantime, Salome will consult with her team to determine which databases would be most suitable for the project. An intern will also be involved in moving things forward._x000a__x000a_â€Œ_x000a__x000a_Thank you all for your commitment to this project. We look forward to working together to achieve our goals and will keep you updated on our progress._x000a__x000a_Best regards,"/>
    <x v="11"/>
    <s v="2023-10-27T05:00:00.000Z"/>
    <s v="2024-06-03T16:21:53.422Z"/>
    <s v="65faf4f2402701c2df6e6bbf"/>
    <x v="9"/>
  </r>
  <r>
    <s v="JHB_ACTG_021_A5199"/>
    <s v="https://trello.com/c/wYV8jSDS/208-jhbactg021a5199"/>
    <s v="Study title: International Neurological Study_x000a__x000a_Improved neuropsychological and neurological functioning across three antiretroviral regimens in diverse resource-limited settings. We will request data on the effects of different antiretroviral regimens on neuropsychological and neurological functioning in resource-limited settings._x000a__x000a_Note: no street addresses included"/>
    <x v="11"/>
    <s v="2024-01-15T05:00:00.000Z"/>
    <s v="2024-05-28T14:15:15.072Z"/>
    <s v="65faf4f2402701c2df6e6bbf"/>
    <x v="9"/>
  </r>
  <r>
    <s v="JHB_ACTG_019_PEARLS_A5175"/>
    <s v="https://trello.com/c/XH8G9B4V/209-jhbactg019pearlsa5175"/>
    <s v="Study title: Once-Daily PI + Non-NRTI Regimens for Initial Tx in Resource-Limited Settingsâ€ [PEARLS] Trial_x000a__x000a_Psychosocial Predictors of Non-Adherence and Treatment Failure. We will request data on psychosocial factors that influence adherence to antiretroviral therapy and treatment outcomes in a multinational context_x000a__x000a_Note: no street addresses included_x000a__x000a_N=1571"/>
    <x v="11"/>
    <s v="2024-01-15T06:00:00.000Z"/>
    <s v="2024-05-28T14:14:56.873Z"/>
    <s v="65faf4f2402701c2df6e6bbf"/>
    <x v="9"/>
  </r>
  <r>
    <s v="JHB_ACTG_018_A5271"/>
    <s v="https://trello.com/c/Oz7Q22vZ/211-jhbactg018a5271"/>
    <s v="Study title: Collection of Comparison Neurocognitive Data in Resource-Limited Settings_x000a__x000a_neurocognitive comparison data in diverse resource-limited settings. We will request data on neurocognitive performance across different antiretroviral regimens and diverse settings."/>
    <x v="11"/>
    <s v="2024-01-15T05:00:00.000Z"/>
    <s v="2024-05-28T14:14:40.980Z"/>
    <s v="65faf4f2402701c2df6e6bbf"/>
    <x v="9"/>
  </r>
  <r>
    <s v="JHB_ACTG_017_A5073"/>
    <s v="https://trello.com/c/4lhwfddT/212-jhbactg017a5073"/>
    <s v="Study title: A randomized, Phase II, open-label study to compare twice daily and once daily potent antiretroviral therapy and to compare self-administered therapy and therapy administered under direct observation_x000a__x000a_â€Œ_x000a__x000a_Comparison of BID ART vs QD ART and Self-Administered ART vs. DOT ART_x000a__x000a_Comparison of once-daily versus twice-daily combination antiretroviral therapy in treatment-naive patients and Modified directly observed antiretroviral therapy compared with self-administered therapy in treatment-naive HIV-1-infected patients. We will request data on the comparative efficacy, safety, and adherence rates of once-daily and twice-daily antiretroviral therapy, as well as modified directly observed antiretroviral therapy versus self-administered therapy in treatment-naive patients."/>
    <x v="11"/>
    <s v="2024-01-15T05:00:00.000Z"/>
    <s v="2024-05-28T14:13:53.952Z"/>
    <s v="65faf4f2402701c2df6e6bbf"/>
    <x v="9"/>
  </r>
  <r>
    <s v="JHB_ACTG_016_STRIDE_A5221"/>
    <s v="https://trello.com/c/9imVaE3t/213-jhbactg016stridea5221"/>
    <s v="Timing of antiretroviral therapy for HIV-1 infection and tuberculosis. We will request data on the optimal timing of antiretroviral therapy initiation in the context of HIV-1 and tuberculosis co-infection."/>
    <x v="11"/>
    <s v="2024-01-15T05:00:00.000Z"/>
    <s v="2024-05-28T14:12:51.048Z"/>
    <s v="65faf4f2402701c2df6e6bbf"/>
    <x v="9"/>
  </r>
  <r>
    <s v="JHB_ACTG_015_OCTANE_A5208"/>
    <s v="https://trello.com/c/LzsVwqbf/210-jhbactg015octanea5208"/>
    <s v="Optimal Combination Therapy After Nevirapine Exposure_x000a__x000a_N=106_x000a__x000a_â€Œ_x000a__x000a_â€Œ_x000a__x000a_A5221: Nevirapine- versus lopinavir/ritonavir-based initial therapy for HIV-1 infection among women in Africa. We will request data on the comparative efficacy, safety, and tolerability of nevirapine and lopinavir/ritonavir-based initial therapy in African women with HIV-1 infection."/>
    <x v="11"/>
    <s v="2024-01-15T05:00:00.000Z"/>
    <s v="2024-05-28T14:04:34.067Z"/>
    <s v="65faf4f2402701c2df6e6bbf"/>
    <x v="9"/>
  </r>
  <r>
    <s v="JHB_DPHRU_053_MASC Study"/>
    <s v="https://trello.com/c/iVkZWhgV/100-jhbdphru053masc-study"/>
    <s v="Sydney Brenner Institute for Molecular Bioscience_x000a__x000a_Middle-aged Soweto Cohort (MASC) which includes the men and women who were part of the original AWI-Gen 1 study (2011-2014; n=~2000) and who were followed up again in 2017/2018 as part of a diabetes study (n=~1000).Â  AWI-Gen 2 was then completed in 2021/2022 on n=1400._x000a__x000a_As agreed I think it is probably best to start moving forward with the most recent data and hopefully in time we can start to explore the historical data more (the women from the MASC cohort were the original Bt20 caregivers so we have historical data on them at various time points between 1990 and 2010). Â Although all of this data is stored on the Wits servers we have worked closely with a data management company (DataQ) to set up the longitudinal database for two time points so far (2011-2014 and 2017/2018). Obviously this data is de-identified so we will have to link to addresses etc stored on the Wits servers but this should be easily done with IDs._x000a__x000a_PI: Dr Shane Norris_x000a__x000a_â€Œ_x000a__x000a_Lisa Micklesfield:"/>
    <x v="11"/>
    <s v="2024-06-28T05:00:00.000Z"/>
    <s v="2024-06-03T16:20:52.340Z"/>
    <s v="65faf4f2402701c2df6e6bbf"/>
    <x v="9"/>
  </r>
  <r>
    <s v="JHB_IMPAACT_010_PROMISE1077BF"/>
    <s v="https://trello.com/c/kSUsjoZK/133-jhbimpaact010promise1077bf"/>
    <s v="###### **Breastfeeding Version of the PROMISE Study (Promoting Maternal and Infant Survival Everywhere): (1077 BF /PROMISE)**_x000a__x000a_NCT01061151_x000a__x000a_N= approximately 268"/>
    <x v="11"/>
    <s v="2024-06-05T05:00:00.000Z"/>
    <s v="2024-06-03T16:20:16.315Z"/>
    <s v="65faf4f2402701c2df6e6bbf"/>
    <x v="9"/>
  </r>
  <r>
    <s v="ABJ019- NCT02025868"/>
    <s v="https://trello.com/c/R6O2zTPN/223-abj019-nct02025868"/>
    <s v="Third Line Antiretroviral Treatment Optimization in Sub-Saharan Africa_x000a__x000a_Number of participants: 201_x000a__x000a_Study date: 2014-2017_x000a__x000a_NCT02025868_x000a__x000a_â€Œ_x000a__x000a_Serge EholiÃ©"/>
    <x v="11"/>
    <s v="2024-01-31T13:50:00.000Z"/>
    <s v="2024-06-03T16:18:43.974Z"/>
    <s v="65a78d7f586355f11590252c"/>
    <x v="10"/>
  </r>
  <r>
    <s v="JHB_WRHI_003_DRV052"/>
    <s v="https://trello.com/c/CypsBwui/2-jhbwrhi003drv052"/>
    <s v="Low-dose ritonavir-boosted darunavir once daily versus ritonavir-boosted lopinavir for participants with less than 50 HIV RNA copies per mL (WRHI 052): a randomised, open-label, phase 3, non-inferiority trialâ€_x000a__x000a_Ethics number: WRHI 052 Project 150705B_x000a__x000a_location: Charlotte Maxeke Johannesburg Academic Hospital_x000a_duration: 48 weeks_x000a_number of visits: 7_x000a_startdate: Jun 2016_x000a_enddate: Jun 2017_x000a_number of participants: 300"/>
    <x v="11"/>
    <s v="2024-06-28T13:50:00.000Z"/>
    <s v="2024-06-03T16:15:56.722Z"/>
    <s v="65a78d7f586355f11590252c"/>
    <x v="10"/>
  </r>
  <r>
    <s v="JHB_SCHARP_004_HPTN075"/>
    <s v="https://trello.com/c/w9fcz8f8/193-jhbscharp004hptn075"/>
    <s v="Feasibility of HIV Prevention Cohort Studies Among MSM in Sub-Saharan Africa_x000a__x000a_101 men/transgender women enrolled at the Soweto HPTN CRS located at the Chris Hani Baragwanath Hospital (conducted 2015-2017)"/>
    <x v="11"/>
    <s v="2024-06-28T13:50:00.000Z"/>
    <s v="2024-06-03T16:16:01.031Z"/>
    <s v="65a78d7f586355f11590252c"/>
    <x v="10"/>
  </r>
  <r>
    <s v="JHB_JHSPH_005_Novel TB Prevention Regimens for HIV-Infected Adults"/>
    <s v="https://trello.com/c/xtiErWDL/191-jhbjhsph005novel-tb-prevention-regimens-for-hiv-infected-adults"/>
    <s v="Study title: Novel TB Prevention Regimens for HIV-Infected Adults_x000a__x000a_Follow up with Richard E. Chaisson, MD Professor of Medicine, Epidemiology, and International Health Director, Johns Hopkins Center for Tuberculosis Research Principal Investigator, Johns Hopkins Center for AIDS Research_x000a__x000a_N=1148_x000a__x000a_Background Treatment of latent tuberculosis in patients infected with the human immunodeficiency virus (HIV) is efficacious, but few patients around the world receive such treatment. We evaluated three new regimens for latent tuberculosis that may be more potent and durable than standard isoniazid treatment. Methods We randomly assigned South African adults with HIV infection and a positive tuberculin skin test who were not taking antiretroviral therapy to receive rifapentine (900 mg) plus isoniazid (900 mg) weekly for 12 weeks, rifampin (600 mg) plus isoniazid (900 mg) twice weekly for 12 weeks, isoniazid (300 mg) daily for up to 6 years (continuous isoniazid), or isoniazid (300 mg) daily for 6 months (control group). The primary end point was tuberculosis-free survival. Results The 1148 patients had a median age of 30 years and a median CD4 cell count of 484 per cubic millimeter. Incidence rates of active tuberculosis or death were 3.1 per 100 person-years in the rifapentineâ€“isoniazid group, 2.9 per 100 person-years in the rifampinâ€“isoniazid group, and 2.7 per 100 person-years in the continuous-isoniazid group, as compared with 3.6 per 100 person-years in the control group (P&gt;0.05 for all comparisons). Serious adverse reactions were more common in the continuousisoniazid group (18.4 per 100 person-years) than in the other treatment groups (8.7 to 15.4 per 100 person-years). Two of 58 isolates of Mycobacterium tuberculosis (3.4%) were found to have multidrug resistance_x000a__x000a_â€Œ_x000a__x000a_Wits approved"/>
    <x v="11"/>
    <s v="2024-06-28T08:36:00.000Z"/>
    <s v="2024-06-03T16:14:51.711Z"/>
    <s v="65a78d7f586355f11590252c"/>
    <x v="10"/>
  </r>
  <r>
    <s v="JHB_SCHARP_006_HPTN082"/>
    <s v="https://trello.com/c/GdkbLvdW/194-jhbscharp006hptn082"/>
    <s v="Study title: Uptake and adherence to daily oral PrEP as a primary prevention strategy for young African women: A Vanguard Study_x000a__x000a_137 young women enrolled at Ward 21 (conducted 2016-2018)_x000a__x000a_â€Œ_x000a__x000a_Wits HREC ref: 160304"/>
    <x v="11"/>
    <s v="2024-06-28T05:00:00.000Z"/>
    <s v="2024-06-03T16:16:13.764Z"/>
    <s v="65a78d7f586355f11590252c"/>
    <x v="10"/>
  </r>
  <r>
    <s v="JHB_Ezin_002_ADVANCE"/>
    <s v="https://trello.com/c/vaVJmDrE/3-jhbezin002advance"/>
    <s v="Study title: A 96-week Randomised, Phase 3 Non-inferiority Study of DTG + TAF + FTC Compared_x000a_with DTG + TDF + FTC and EFV + TDF+FTC in Patients Infected with HIV-1 Starting First-line Antiretroviral Therapy_x000a__x000a_location: inner-city JHB_x000a_duration: 96 weeks_x000a_number of visits: 11_x000a_start date: Feb 2017_x000a_end date: May 2018_x000a_number of participants: 1053"/>
    <x v="11"/>
    <s v="2024-06-28T13:50:00.000Z"/>
    <s v="2024-06-03T16:16:26.815Z"/>
    <s v="6645dc7b661c51aa21c6f584"/>
    <x v="11"/>
  </r>
  <r>
    <s v="JHB_Ezin_001_D4T"/>
    <s v="https://trello.com/c/D4kdsxlK/1-jhbezin001d4t"/>
    <s v="Title: A randomised, double-blind, multi-centre, parallel- group phase 3B study to demontrate non-inferiority of stavudine (20mg twice daily) compared with Tenofovir Disproxil Fumarate (300mg once daily) when administered in combination with Lamivudine and Efavirenz in Antiretroviral-naive patients infected with HIV-1_x000a__x000a_location: Charlotte Maxeke Johannesburg Academic Hospital_x000a_duration: 96 weeks_x000a_number of visits: 11_x000a_start date: Jul 2012_x000a_end date: Jan 2014_x000a_number of participants: 600"/>
    <x v="11"/>
    <s v="2024-06-30T13:50:00.000Z"/>
    <s v="2024-06-03T16:16:29.426Z"/>
    <s v="6645dc7b661c51aa21c6f58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F92C99-9867-4E19-AC33-70E6F19AD635}"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colHeaderCaption="Categories">
  <location ref="A3:N17" firstHeaderRow="1" firstDataRow="2" firstDataCol="1"/>
  <pivotFields count="8">
    <pivotField dataField="1" showAll="0"/>
    <pivotField showAll="0"/>
    <pivotField showAll="0"/>
    <pivotField axis="axisCol" showAll="0">
      <items count="14">
        <item x="6"/>
        <item x="0"/>
        <item x="10"/>
        <item x="3"/>
        <item x="8"/>
        <item x="2"/>
        <item x="9"/>
        <item x="5"/>
        <item x="4"/>
        <item x="7"/>
        <item x="1"/>
        <item m="1" x="12"/>
        <item x="11"/>
        <item t="default"/>
      </items>
    </pivotField>
    <pivotField showAll="0"/>
    <pivotField showAll="0"/>
    <pivotField showAll="0"/>
    <pivotField axis="axisRow" showAll="0">
      <items count="13">
        <item x="0"/>
        <item x="1"/>
        <item x="2"/>
        <item x="3"/>
        <item x="4"/>
        <item x="5"/>
        <item x="6"/>
        <item x="10"/>
        <item x="7"/>
        <item x="8"/>
        <item x="11"/>
        <item x="9"/>
        <item t="default"/>
      </items>
    </pivotField>
  </pivotFields>
  <rowFields count="1">
    <field x="7"/>
  </rowFields>
  <rowItems count="13">
    <i>
      <x/>
    </i>
    <i>
      <x v="1"/>
    </i>
    <i>
      <x v="2"/>
    </i>
    <i>
      <x v="3"/>
    </i>
    <i>
      <x v="4"/>
    </i>
    <i>
      <x v="5"/>
    </i>
    <i>
      <x v="6"/>
    </i>
    <i>
      <x v="7"/>
    </i>
    <i>
      <x v="8"/>
    </i>
    <i>
      <x v="9"/>
    </i>
    <i>
      <x v="10"/>
    </i>
    <i>
      <x v="11"/>
    </i>
    <i t="grand">
      <x/>
    </i>
  </rowItems>
  <colFields count="1">
    <field x="3"/>
  </colFields>
  <colItems count="13">
    <i>
      <x/>
    </i>
    <i>
      <x v="1"/>
    </i>
    <i>
      <x v="2"/>
    </i>
    <i>
      <x v="3"/>
    </i>
    <i>
      <x v="4"/>
    </i>
    <i>
      <x v="5"/>
    </i>
    <i>
      <x v="6"/>
    </i>
    <i>
      <x v="7"/>
    </i>
    <i>
      <x v="8"/>
    </i>
    <i>
      <x v="9"/>
    </i>
    <i>
      <x v="10"/>
    </i>
    <i>
      <x v="12"/>
    </i>
    <i t="grand">
      <x/>
    </i>
  </colItems>
  <dataFields count="1">
    <dataField name="Count Categories" fld="0" subtotal="count" baseField="0" baseItem="0"/>
  </dataFields>
  <formats count="32">
    <format dxfId="31">
      <pivotArea type="origin" dataOnly="0" labelOnly="1" outline="0" fieldPosition="0"/>
    </format>
    <format dxfId="30">
      <pivotArea field="3" type="button" dataOnly="0" labelOnly="1" outline="0" axis="axisCol" fieldPosition="0"/>
    </format>
    <format dxfId="29">
      <pivotArea type="topRight" dataOnly="0" labelOnly="1" outline="0" fieldPosition="0"/>
    </format>
    <format dxfId="28">
      <pivotArea dataOnly="0" labelOnly="1" fieldPosition="0">
        <references count="1">
          <reference field="3" count="0"/>
        </references>
      </pivotArea>
    </format>
    <format dxfId="27">
      <pivotArea dataOnly="0" labelOnly="1" grandCol="1" outline="0" fieldPosition="0"/>
    </format>
    <format dxfId="26">
      <pivotArea type="origin" dataOnly="0" labelOnly="1" outline="0" fieldPosition="0"/>
    </format>
    <format dxfId="25">
      <pivotArea field="7" type="button" dataOnly="0" labelOnly="1" outline="0" axis="axisRow" fieldPosition="0"/>
    </format>
    <format dxfId="24">
      <pivotArea dataOnly="0" labelOnly="1" fieldPosition="0">
        <references count="1">
          <reference field="7" count="0"/>
        </references>
      </pivotArea>
    </format>
    <format dxfId="23">
      <pivotArea dataOnly="0" labelOnly="1" grandRow="1" outline="0" fieldPosition="0"/>
    </format>
    <format dxfId="22">
      <pivotArea outline="0" collapsedLevelsAreSubtotals="1" fieldPosition="0"/>
    </format>
    <format dxfId="21">
      <pivotArea dataOnly="0" labelOnly="1" fieldPosition="0">
        <references count="1">
          <reference field="7" count="0"/>
        </references>
      </pivotArea>
    </format>
    <format dxfId="20">
      <pivotArea dataOnly="0" labelOnly="1" grandRow="1" outline="0" fieldPosition="0"/>
    </format>
    <format dxfId="19">
      <pivotArea dataOnly="0" labelOnly="1" fieldPosition="0">
        <references count="1">
          <reference field="3" count="1">
            <x v="12"/>
          </reference>
        </references>
      </pivotArea>
    </format>
    <format dxfId="18">
      <pivotArea dataOnly="0" labelOnly="1" fieldPosition="0">
        <references count="1">
          <reference field="3" count="1">
            <x v="12"/>
          </reference>
        </references>
      </pivotArea>
    </format>
    <format dxfId="17">
      <pivotArea collapsedLevelsAreSubtotals="1" fieldPosition="0">
        <references count="2">
          <reference field="3" count="1" selected="0">
            <x v="12"/>
          </reference>
          <reference field="7" count="5">
            <x v="7"/>
            <x v="8"/>
            <x v="9"/>
            <x v="10"/>
            <x v="11"/>
          </reference>
        </references>
      </pivotArea>
    </format>
    <format dxfId="16">
      <pivotArea field="7" grandCol="1" collapsedLevelsAreSubtotals="1" axis="axisRow" fieldPosition="0">
        <references count="1">
          <reference field="7" count="5">
            <x v="7"/>
            <x v="8"/>
            <x v="9"/>
            <x v="10"/>
            <x v="11"/>
          </reference>
        </references>
      </pivotArea>
    </format>
    <format dxfId="15">
      <pivotArea field="3" grandRow="1" outline="0" collapsedLevelsAreSubtotals="1" axis="axisCol" fieldPosition="0">
        <references count="1">
          <reference field="3" count="1" selected="0">
            <x v="12"/>
          </reference>
        </references>
      </pivotArea>
    </format>
    <format dxfId="14">
      <pivotArea collapsedLevelsAreSubtotals="1" fieldPosition="0">
        <references count="2">
          <reference field="3" count="1" selected="0">
            <x v="6"/>
          </reference>
          <reference field="7" count="5">
            <x v="4"/>
            <x v="5"/>
            <x v="6"/>
            <x v="7"/>
            <x v="8"/>
          </reference>
        </references>
      </pivotArea>
    </format>
    <format dxfId="13">
      <pivotArea collapsedLevelsAreSubtotals="1" fieldPosition="0">
        <references count="2">
          <reference field="3" count="1" selected="0">
            <x v="8"/>
          </reference>
          <reference field="7" count="8">
            <x v="2"/>
            <x v="3"/>
            <x v="4"/>
            <x v="5"/>
            <x v="6"/>
            <x v="7"/>
            <x v="8"/>
            <x v="9"/>
          </reference>
        </references>
      </pivotArea>
    </format>
    <format dxfId="12">
      <pivotArea collapsedLevelsAreSubtotals="1" fieldPosition="0">
        <references count="2">
          <reference field="3" count="1" selected="0">
            <x v="0"/>
          </reference>
          <reference field="7" count="1">
            <x v="3"/>
          </reference>
        </references>
      </pivotArea>
    </format>
    <format dxfId="11">
      <pivotArea collapsedLevelsAreSubtotals="1" fieldPosition="0">
        <references count="2">
          <reference field="3" count="1" selected="0">
            <x v="9"/>
          </reference>
          <reference field="7" count="1">
            <x v="3"/>
          </reference>
        </references>
      </pivotArea>
    </format>
    <format dxfId="10">
      <pivotArea collapsedLevelsAreSubtotals="1" fieldPosition="0">
        <references count="1">
          <reference field="7" count="1">
            <x v="0"/>
          </reference>
        </references>
      </pivotArea>
    </format>
    <format dxfId="9">
      <pivotArea collapsedLevelsAreSubtotals="1" fieldPosition="0">
        <references count="1">
          <reference field="7" count="1">
            <x v="0"/>
          </reference>
        </references>
      </pivotArea>
    </format>
    <format dxfId="8">
      <pivotArea collapsedLevelsAreSubtotals="1" fieldPosition="0">
        <references count="2">
          <reference field="3" count="1" selected="0">
            <x v="2"/>
          </reference>
          <reference field="7" count="1">
            <x v="6"/>
          </reference>
        </references>
      </pivotArea>
    </format>
    <format dxfId="7">
      <pivotArea collapsedLevelsAreSubtotals="1" fieldPosition="0">
        <references count="2">
          <reference field="3" count="1" selected="0">
            <x v="0"/>
          </reference>
          <reference field="7" count="1">
            <x v="3"/>
          </reference>
        </references>
      </pivotArea>
    </format>
    <format dxfId="6">
      <pivotArea collapsedLevelsAreSubtotals="1" fieldPosition="0">
        <references count="2">
          <reference field="3" count="1" selected="0">
            <x v="9"/>
          </reference>
          <reference field="7" count="1">
            <x v="3"/>
          </reference>
        </references>
      </pivotArea>
    </format>
    <format dxfId="5">
      <pivotArea collapsedLevelsAreSubtotals="1" fieldPosition="0">
        <references count="1">
          <reference field="7" count="1">
            <x v="0"/>
          </reference>
        </references>
      </pivotArea>
    </format>
    <format dxfId="4">
      <pivotArea dataOnly="0" labelOnly="1" fieldPosition="0">
        <references count="1">
          <reference field="7" count="1">
            <x v="0"/>
          </reference>
        </references>
      </pivotArea>
    </format>
    <format dxfId="3">
      <pivotArea collapsedLevelsAreSubtotals="1" fieldPosition="0">
        <references count="2">
          <reference field="3" count="1" selected="0">
            <x v="10"/>
          </reference>
          <reference field="7" count="7">
            <x v="0"/>
            <x v="1"/>
            <x v="2"/>
            <x v="3"/>
            <x v="4"/>
            <x v="5"/>
            <x v="6"/>
          </reference>
        </references>
      </pivotArea>
    </format>
    <format dxfId="2">
      <pivotArea dataOnly="0" labelOnly="1" fieldPosition="0">
        <references count="1">
          <reference field="3" count="1">
            <x v="10"/>
          </reference>
        </references>
      </pivotArea>
    </format>
    <format dxfId="1">
      <pivotArea field="3" grandRow="1" outline="0" collapsedLevelsAreSubtotals="1" axis="axisCol" fieldPosition="0">
        <references count="1">
          <reference field="3" count="1" selected="0">
            <x v="10"/>
          </reference>
        </references>
      </pivotArea>
    </format>
    <format dxfId="0">
      <pivotArea collapsedLevelsAreSubtotals="1" fieldPosition="0">
        <references count="2">
          <reference field="3" count="1" selected="0">
            <x v="8"/>
          </reference>
          <reference field="7" count="1">
            <x v="9"/>
          </reference>
        </references>
      </pivotArea>
    </format>
  </formats>
  <chartFormats count="1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0" format="6" series="1">
      <pivotArea type="data" outline="0" fieldPosition="0">
        <references count="2">
          <reference field="4294967294" count="1" selected="0">
            <x v="0"/>
          </reference>
          <reference field="3" count="1" selected="0">
            <x v="6"/>
          </reference>
        </references>
      </pivotArea>
    </chartFormat>
    <chartFormat chart="0" format="7" series="1">
      <pivotArea type="data" outline="0" fieldPosition="0">
        <references count="2">
          <reference field="4294967294" count="1" selected="0">
            <x v="0"/>
          </reference>
          <reference field="3" count="1" selected="0">
            <x v="7"/>
          </reference>
        </references>
      </pivotArea>
    </chartFormat>
    <chartFormat chart="0" format="8" series="1">
      <pivotArea type="data" outline="0" fieldPosition="0">
        <references count="2">
          <reference field="4294967294" count="1" selected="0">
            <x v="0"/>
          </reference>
          <reference field="3" count="1" selected="0">
            <x v="8"/>
          </reference>
        </references>
      </pivotArea>
    </chartFormat>
    <chartFormat chart="0" format="9" series="1">
      <pivotArea type="data" outline="0" fieldPosition="0">
        <references count="2">
          <reference field="4294967294" count="1" selected="0">
            <x v="0"/>
          </reference>
          <reference field="3" count="1" selected="0">
            <x v="9"/>
          </reference>
        </references>
      </pivotArea>
    </chartFormat>
    <chartFormat chart="0" format="10" series="1">
      <pivotArea type="data" outline="0" fieldPosition="0">
        <references count="2">
          <reference field="4294967294" count="1" selected="0">
            <x v="0"/>
          </reference>
          <reference field="3" count="1" selected="0">
            <x v="10"/>
          </reference>
        </references>
      </pivotArea>
    </chartFormat>
    <chartFormat chart="0" format="11" series="1">
      <pivotArea type="data" outline="0" fieldPosition="0">
        <references count="2">
          <reference field="4294967294" count="1" selected="0">
            <x v="0"/>
          </reference>
          <reference field="3" count="1" selected="0">
            <x v="11"/>
          </reference>
        </references>
      </pivotArea>
    </chartFormat>
    <chartFormat chart="0" format="12" series="1">
      <pivotArea type="data" outline="0" fieldPosition="0">
        <references count="2">
          <reference field="4294967294" count="1" selected="0">
            <x v="0"/>
          </reference>
          <reference field="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8D746-9FF0-4312-8865-8552F5E1960F}">
  <sheetPr>
    <tabColor rgb="FFFFFF00"/>
  </sheetPr>
  <dimension ref="A1:N51"/>
  <sheetViews>
    <sheetView tabSelected="1" topLeftCell="B40" workbookViewId="0">
      <selection activeCell="L46" sqref="L46"/>
    </sheetView>
  </sheetViews>
  <sheetFormatPr defaultRowHeight="30" customHeight="1" x14ac:dyDescent="0.3"/>
  <cols>
    <col min="1" max="1" width="0" hidden="1" customWidth="1"/>
    <col min="2" max="2" width="40" customWidth="1"/>
    <col min="3" max="3" width="0" hidden="1" customWidth="1"/>
    <col min="4" max="4" width="32.44140625" hidden="1" customWidth="1"/>
    <col min="5" max="5" width="18.33203125" customWidth="1"/>
    <col min="6" max="6" width="10.44140625" hidden="1" customWidth="1"/>
    <col min="7" max="8" width="24" hidden="1" customWidth="1"/>
    <col min="9" max="9" width="39.33203125" style="1" customWidth="1"/>
    <col min="10" max="11" width="24" hidden="1" customWidth="1"/>
    <col min="12" max="12" width="11.21875" customWidth="1"/>
  </cols>
  <sheetData>
    <row r="1" spans="1:11" ht="30" customHeight="1" x14ac:dyDescent="0.3">
      <c r="A1" t="s">
        <v>0</v>
      </c>
      <c r="B1" t="s">
        <v>1</v>
      </c>
      <c r="C1" t="s">
        <v>2</v>
      </c>
      <c r="D1" t="s">
        <v>3</v>
      </c>
      <c r="E1" t="s">
        <v>520</v>
      </c>
      <c r="F1" t="s">
        <v>6</v>
      </c>
      <c r="G1" t="s">
        <v>7</v>
      </c>
      <c r="H1" t="s">
        <v>8</v>
      </c>
      <c r="I1" s="1" t="s">
        <v>9</v>
      </c>
      <c r="J1" t="s">
        <v>10</v>
      </c>
      <c r="K1" t="s">
        <v>11</v>
      </c>
    </row>
    <row r="2" spans="1:11" ht="30" customHeight="1" x14ac:dyDescent="0.3">
      <c r="A2" t="s">
        <v>175</v>
      </c>
      <c r="B2" t="s">
        <v>176</v>
      </c>
      <c r="C2" t="s">
        <v>177</v>
      </c>
      <c r="D2" s="1" t="s">
        <v>178</v>
      </c>
      <c r="E2" t="s">
        <v>508</v>
      </c>
      <c r="F2" t="s">
        <v>180</v>
      </c>
      <c r="G2" t="s">
        <v>181</v>
      </c>
      <c r="H2" t="s">
        <v>161</v>
      </c>
      <c r="I2" s="1" t="s">
        <v>565</v>
      </c>
      <c r="J2" t="s">
        <v>21</v>
      </c>
      <c r="K2" t="s">
        <v>22</v>
      </c>
    </row>
    <row r="3" spans="1:11" ht="30" customHeight="1" x14ac:dyDescent="0.3">
      <c r="A3" t="s">
        <v>342</v>
      </c>
      <c r="B3" t="s">
        <v>343</v>
      </c>
      <c r="C3" t="s">
        <v>344</v>
      </c>
      <c r="D3" s="1" t="s">
        <v>345</v>
      </c>
      <c r="E3" t="s">
        <v>500</v>
      </c>
      <c r="F3" t="s">
        <v>347</v>
      </c>
      <c r="G3" t="s">
        <v>348</v>
      </c>
      <c r="H3" t="s">
        <v>335</v>
      </c>
      <c r="I3" s="1" t="s">
        <v>565</v>
      </c>
      <c r="J3" t="s">
        <v>21</v>
      </c>
      <c r="K3" t="s">
        <v>22</v>
      </c>
    </row>
    <row r="4" spans="1:11" ht="30" customHeight="1" x14ac:dyDescent="0.3">
      <c r="A4" t="s">
        <v>12</v>
      </c>
      <c r="B4" t="s">
        <v>13</v>
      </c>
      <c r="C4" t="s">
        <v>14</v>
      </c>
      <c r="D4" t="s">
        <v>15</v>
      </c>
      <c r="E4" t="s">
        <v>518</v>
      </c>
      <c r="F4" t="s">
        <v>17</v>
      </c>
      <c r="G4" t="s">
        <v>18</v>
      </c>
      <c r="H4" t="s">
        <v>19</v>
      </c>
      <c r="I4" s="1" t="s">
        <v>527</v>
      </c>
      <c r="J4" t="s">
        <v>21</v>
      </c>
      <c r="K4" t="s">
        <v>22</v>
      </c>
    </row>
    <row r="5" spans="1:11" ht="30" customHeight="1" x14ac:dyDescent="0.3">
      <c r="A5" t="s">
        <v>56</v>
      </c>
      <c r="B5" t="s">
        <v>57</v>
      </c>
      <c r="C5" t="s">
        <v>58</v>
      </c>
      <c r="D5" s="1" t="s">
        <v>59</v>
      </c>
      <c r="E5" t="s">
        <v>505</v>
      </c>
      <c r="F5" t="s">
        <v>61</v>
      </c>
      <c r="G5" t="s">
        <v>62</v>
      </c>
      <c r="H5" t="s">
        <v>19</v>
      </c>
      <c r="I5" s="1" t="s">
        <v>527</v>
      </c>
      <c r="J5" t="s">
        <v>21</v>
      </c>
      <c r="K5" t="s">
        <v>22</v>
      </c>
    </row>
    <row r="6" spans="1:11" ht="30" customHeight="1" x14ac:dyDescent="0.3">
      <c r="A6" t="s">
        <v>63</v>
      </c>
      <c r="B6" t="s">
        <v>64</v>
      </c>
      <c r="C6" t="s">
        <v>65</v>
      </c>
      <c r="D6" s="1" t="s">
        <v>66</v>
      </c>
      <c r="E6" t="s">
        <v>505</v>
      </c>
      <c r="G6" t="s">
        <v>68</v>
      </c>
      <c r="H6" t="s">
        <v>19</v>
      </c>
      <c r="I6" s="1" t="s">
        <v>527</v>
      </c>
      <c r="J6" t="s">
        <v>21</v>
      </c>
      <c r="K6" t="s">
        <v>22</v>
      </c>
    </row>
    <row r="7" spans="1:11" ht="30" customHeight="1" x14ac:dyDescent="0.3">
      <c r="A7" t="s">
        <v>69</v>
      </c>
      <c r="B7" t="s">
        <v>70</v>
      </c>
      <c r="C7" t="s">
        <v>71</v>
      </c>
      <c r="D7" s="1" t="s">
        <v>72</v>
      </c>
      <c r="E7" t="s">
        <v>500</v>
      </c>
      <c r="F7" t="s">
        <v>74</v>
      </c>
      <c r="G7" t="s">
        <v>75</v>
      </c>
      <c r="H7" t="s">
        <v>19</v>
      </c>
      <c r="I7" s="1" t="s">
        <v>527</v>
      </c>
      <c r="J7" t="s">
        <v>21</v>
      </c>
      <c r="K7" t="s">
        <v>22</v>
      </c>
    </row>
    <row r="8" spans="1:11" ht="30" customHeight="1" x14ac:dyDescent="0.3">
      <c r="A8" t="s">
        <v>83</v>
      </c>
      <c r="B8" t="s">
        <v>84</v>
      </c>
      <c r="C8" t="s">
        <v>85</v>
      </c>
      <c r="D8" s="1" t="s">
        <v>86</v>
      </c>
      <c r="E8" t="s">
        <v>500</v>
      </c>
      <c r="F8" t="s">
        <v>88</v>
      </c>
      <c r="G8" t="s">
        <v>89</v>
      </c>
      <c r="H8" t="s">
        <v>19</v>
      </c>
      <c r="I8" s="1" t="s">
        <v>527</v>
      </c>
      <c r="J8" t="s">
        <v>21</v>
      </c>
      <c r="K8" t="s">
        <v>22</v>
      </c>
    </row>
    <row r="9" spans="1:11" ht="30" customHeight="1" x14ac:dyDescent="0.3">
      <c r="A9" t="s">
        <v>30</v>
      </c>
      <c r="B9" t="s">
        <v>31</v>
      </c>
      <c r="C9" t="s">
        <v>32</v>
      </c>
      <c r="D9" t="s">
        <v>33</v>
      </c>
      <c r="E9" t="s">
        <v>500</v>
      </c>
      <c r="F9" t="s">
        <v>35</v>
      </c>
      <c r="G9" t="s">
        <v>36</v>
      </c>
      <c r="H9" t="s">
        <v>19</v>
      </c>
      <c r="I9" s="1" t="s">
        <v>527</v>
      </c>
      <c r="J9" t="s">
        <v>21</v>
      </c>
      <c r="K9" t="s">
        <v>22</v>
      </c>
    </row>
    <row r="10" spans="1:11" ht="30" customHeight="1" x14ac:dyDescent="0.3">
      <c r="A10" t="s">
        <v>76</v>
      </c>
      <c r="B10" t="s">
        <v>77</v>
      </c>
      <c r="C10" t="s">
        <v>78</v>
      </c>
      <c r="D10" s="1" t="s">
        <v>79</v>
      </c>
      <c r="E10" t="s">
        <v>498</v>
      </c>
      <c r="F10" t="s">
        <v>81</v>
      </c>
      <c r="G10" t="s">
        <v>82</v>
      </c>
      <c r="H10" t="s">
        <v>19</v>
      </c>
      <c r="I10" s="1" t="s">
        <v>566</v>
      </c>
      <c r="J10" t="s">
        <v>21</v>
      </c>
      <c r="K10" t="s">
        <v>22</v>
      </c>
    </row>
    <row r="11" spans="1:11" ht="30" customHeight="1" x14ac:dyDescent="0.3">
      <c r="A11" t="s">
        <v>124</v>
      </c>
      <c r="B11" t="s">
        <v>125</v>
      </c>
      <c r="C11" t="s">
        <v>126</v>
      </c>
      <c r="D11" s="1" t="s">
        <v>127</v>
      </c>
      <c r="E11" t="s">
        <v>541</v>
      </c>
      <c r="F11" t="s">
        <v>129</v>
      </c>
      <c r="G11" t="s">
        <v>130</v>
      </c>
      <c r="H11" t="s">
        <v>131</v>
      </c>
      <c r="I11" s="1" t="s">
        <v>566</v>
      </c>
      <c r="J11" t="s">
        <v>21</v>
      </c>
      <c r="K11" t="s">
        <v>22</v>
      </c>
    </row>
    <row r="12" spans="1:11" ht="30" customHeight="1" x14ac:dyDescent="0.3">
      <c r="A12" t="s">
        <v>154</v>
      </c>
      <c r="B12" t="s">
        <v>155</v>
      </c>
      <c r="C12" t="s">
        <v>156</v>
      </c>
      <c r="D12" s="1" t="s">
        <v>157</v>
      </c>
      <c r="E12" t="s">
        <v>503</v>
      </c>
      <c r="F12" t="s">
        <v>159</v>
      </c>
      <c r="G12" t="s">
        <v>160</v>
      </c>
      <c r="H12" t="s">
        <v>161</v>
      </c>
      <c r="I12" s="1" t="s">
        <v>566</v>
      </c>
      <c r="J12" t="s">
        <v>21</v>
      </c>
      <c r="K12" t="s">
        <v>22</v>
      </c>
    </row>
    <row r="13" spans="1:11" ht="30" customHeight="1" x14ac:dyDescent="0.3">
      <c r="A13" t="s">
        <v>23</v>
      </c>
      <c r="B13" t="s">
        <v>24</v>
      </c>
      <c r="C13" t="s">
        <v>25</v>
      </c>
      <c r="D13" s="1" t="s">
        <v>26</v>
      </c>
      <c r="E13" t="s">
        <v>503</v>
      </c>
      <c r="F13" t="s">
        <v>28</v>
      </c>
      <c r="G13" t="s">
        <v>29</v>
      </c>
      <c r="H13" t="s">
        <v>19</v>
      </c>
      <c r="I13" s="1" t="s">
        <v>566</v>
      </c>
      <c r="J13" t="s">
        <v>21</v>
      </c>
      <c r="K13" t="s">
        <v>22</v>
      </c>
    </row>
    <row r="14" spans="1:11" ht="30" customHeight="1" x14ac:dyDescent="0.3">
      <c r="A14" t="s">
        <v>43</v>
      </c>
      <c r="B14" t="s">
        <v>44</v>
      </c>
      <c r="C14" t="s">
        <v>45</v>
      </c>
      <c r="D14" s="1" t="s">
        <v>46</v>
      </c>
      <c r="E14" t="s">
        <v>519</v>
      </c>
      <c r="F14" t="s">
        <v>35</v>
      </c>
      <c r="G14" t="s">
        <v>48</v>
      </c>
      <c r="H14" t="s">
        <v>19</v>
      </c>
      <c r="I14" s="1" t="s">
        <v>566</v>
      </c>
      <c r="J14" t="s">
        <v>21</v>
      </c>
      <c r="K14" t="s">
        <v>22</v>
      </c>
    </row>
    <row r="15" spans="1:11" ht="30" customHeight="1" x14ac:dyDescent="0.3">
      <c r="A15" t="s">
        <v>229</v>
      </c>
      <c r="B15" t="s">
        <v>230</v>
      </c>
      <c r="C15" t="s">
        <v>231</v>
      </c>
      <c r="D15" s="1" t="s">
        <v>232</v>
      </c>
      <c r="E15" t="s">
        <v>506</v>
      </c>
      <c r="F15" t="s">
        <v>211</v>
      </c>
      <c r="G15" t="s">
        <v>233</v>
      </c>
      <c r="H15" t="s">
        <v>213</v>
      </c>
      <c r="I15" s="1" t="s">
        <v>566</v>
      </c>
      <c r="J15" t="s">
        <v>21</v>
      </c>
      <c r="K15" t="s">
        <v>22</v>
      </c>
    </row>
    <row r="16" spans="1:11" ht="30" customHeight="1" x14ac:dyDescent="0.3">
      <c r="A16" t="s">
        <v>37</v>
      </c>
      <c r="B16" t="s">
        <v>38</v>
      </c>
      <c r="C16" t="s">
        <v>39</v>
      </c>
      <c r="D16" s="1" t="s">
        <v>40</v>
      </c>
      <c r="E16" t="s">
        <v>505</v>
      </c>
      <c r="F16" t="s">
        <v>35</v>
      </c>
      <c r="G16" t="s">
        <v>42</v>
      </c>
      <c r="H16" t="s">
        <v>19</v>
      </c>
      <c r="I16" s="1" t="s">
        <v>566</v>
      </c>
      <c r="J16" t="s">
        <v>21</v>
      </c>
      <c r="K16" t="s">
        <v>22</v>
      </c>
    </row>
    <row r="17" spans="1:14" ht="30" customHeight="1" x14ac:dyDescent="0.3">
      <c r="A17" t="s">
        <v>114</v>
      </c>
      <c r="B17" t="s">
        <v>115</v>
      </c>
      <c r="C17" t="s">
        <v>116</v>
      </c>
      <c r="D17" t="s">
        <v>117</v>
      </c>
      <c r="E17" t="s">
        <v>500</v>
      </c>
      <c r="F17" t="s">
        <v>120</v>
      </c>
      <c r="G17" t="s">
        <v>121</v>
      </c>
      <c r="H17" t="s">
        <v>122</v>
      </c>
      <c r="I17" s="1" t="s">
        <v>566</v>
      </c>
      <c r="J17" t="s">
        <v>21</v>
      </c>
      <c r="K17" t="s">
        <v>22</v>
      </c>
      <c r="L17" s="8"/>
    </row>
    <row r="18" spans="1:14" ht="30" customHeight="1" x14ac:dyDescent="0.3">
      <c r="A18" t="s">
        <v>49</v>
      </c>
      <c r="B18" t="s">
        <v>50</v>
      </c>
      <c r="C18" t="s">
        <v>51</v>
      </c>
      <c r="D18" s="1" t="s">
        <v>52</v>
      </c>
      <c r="E18" t="s">
        <v>498</v>
      </c>
      <c r="F18" t="s">
        <v>54</v>
      </c>
      <c r="G18" t="s">
        <v>55</v>
      </c>
      <c r="H18" t="s">
        <v>19</v>
      </c>
      <c r="I18" s="1" t="s">
        <v>566</v>
      </c>
      <c r="J18" t="s">
        <v>21</v>
      </c>
      <c r="K18" t="s">
        <v>22</v>
      </c>
    </row>
    <row r="19" spans="1:14" ht="30" customHeight="1" x14ac:dyDescent="0.3">
      <c r="A19" t="s">
        <v>386</v>
      </c>
      <c r="B19" t="s">
        <v>387</v>
      </c>
      <c r="C19" t="s">
        <v>388</v>
      </c>
      <c r="D19" s="1" t="s">
        <v>389</v>
      </c>
      <c r="E19" t="s">
        <v>498</v>
      </c>
      <c r="F19" t="s">
        <v>137</v>
      </c>
      <c r="G19" t="s">
        <v>390</v>
      </c>
      <c r="H19" t="s">
        <v>378</v>
      </c>
      <c r="I19" s="1" t="s">
        <v>566</v>
      </c>
      <c r="J19" t="s">
        <v>21</v>
      </c>
      <c r="K19" t="s">
        <v>22</v>
      </c>
    </row>
    <row r="20" spans="1:14" ht="30" customHeight="1" x14ac:dyDescent="0.3">
      <c r="A20" t="s">
        <v>252</v>
      </c>
      <c r="B20" t="s">
        <v>253</v>
      </c>
      <c r="C20" t="s">
        <v>254</v>
      </c>
      <c r="D20" s="1" t="s">
        <v>255</v>
      </c>
      <c r="E20" t="s">
        <v>500</v>
      </c>
      <c r="F20" t="s">
        <v>257</v>
      </c>
      <c r="G20" t="s">
        <v>258</v>
      </c>
      <c r="H20" t="s">
        <v>259</v>
      </c>
      <c r="I20" s="1" t="s">
        <v>567</v>
      </c>
      <c r="J20" t="s">
        <v>21</v>
      </c>
      <c r="K20" t="s">
        <v>22</v>
      </c>
    </row>
    <row r="21" spans="1:14" ht="30" customHeight="1" x14ac:dyDescent="0.3">
      <c r="A21" t="s">
        <v>261</v>
      </c>
      <c r="B21" t="s">
        <v>262</v>
      </c>
      <c r="C21" t="s">
        <v>263</v>
      </c>
      <c r="D21" s="1" t="s">
        <v>264</v>
      </c>
      <c r="E21" t="s">
        <v>500</v>
      </c>
      <c r="F21" t="s">
        <v>265</v>
      </c>
      <c r="G21" t="s">
        <v>266</v>
      </c>
      <c r="H21" t="s">
        <v>259</v>
      </c>
      <c r="I21" s="1" t="s">
        <v>567</v>
      </c>
      <c r="J21" t="s">
        <v>21</v>
      </c>
      <c r="K21" t="s">
        <v>22</v>
      </c>
    </row>
    <row r="22" spans="1:14" ht="30" customHeight="1" x14ac:dyDescent="0.3">
      <c r="A22" t="s">
        <v>246</v>
      </c>
      <c r="B22" t="s">
        <v>247</v>
      </c>
      <c r="C22" t="s">
        <v>248</v>
      </c>
      <c r="D22" s="1" t="s">
        <v>249</v>
      </c>
      <c r="E22" t="s">
        <v>500</v>
      </c>
      <c r="F22" t="s">
        <v>180</v>
      </c>
      <c r="G22" t="s">
        <v>251</v>
      </c>
      <c r="H22" t="s">
        <v>213</v>
      </c>
      <c r="I22" s="1" t="s">
        <v>567</v>
      </c>
      <c r="J22" t="s">
        <v>21</v>
      </c>
      <c r="K22" t="s">
        <v>22</v>
      </c>
    </row>
    <row r="23" spans="1:14" ht="30" customHeight="1" x14ac:dyDescent="0.3">
      <c r="A23" t="s">
        <v>447</v>
      </c>
      <c r="B23" t="s">
        <v>448</v>
      </c>
      <c r="C23" t="s">
        <v>449</v>
      </c>
      <c r="D23" s="1" t="s">
        <v>450</v>
      </c>
      <c r="E23" t="s">
        <v>524</v>
      </c>
      <c r="F23" t="s">
        <v>453</v>
      </c>
      <c r="G23" t="s">
        <v>454</v>
      </c>
      <c r="H23" t="s">
        <v>455</v>
      </c>
      <c r="I23" s="1" t="s">
        <v>530</v>
      </c>
      <c r="J23" t="s">
        <v>21</v>
      </c>
      <c r="K23" t="s">
        <v>22</v>
      </c>
    </row>
    <row r="24" spans="1:14" ht="30" customHeight="1" x14ac:dyDescent="0.3">
      <c r="A24" t="s">
        <v>215</v>
      </c>
      <c r="B24" t="s">
        <v>216</v>
      </c>
      <c r="C24" t="s">
        <v>217</v>
      </c>
      <c r="D24" s="1" t="s">
        <v>218</v>
      </c>
      <c r="E24" t="s">
        <v>512</v>
      </c>
      <c r="F24" t="s">
        <v>220</v>
      </c>
      <c r="G24" t="s">
        <v>221</v>
      </c>
      <c r="H24" t="s">
        <v>213</v>
      </c>
      <c r="I24" s="1" t="s">
        <v>531</v>
      </c>
      <c r="J24" t="s">
        <v>21</v>
      </c>
      <c r="K24" t="s">
        <v>22</v>
      </c>
    </row>
    <row r="25" spans="1:14" ht="30" customHeight="1" x14ac:dyDescent="0.3">
      <c r="A25" t="s">
        <v>234</v>
      </c>
      <c r="B25" t="s">
        <v>235</v>
      </c>
      <c r="C25" t="s">
        <v>236</v>
      </c>
      <c r="D25" s="1" t="s">
        <v>237</v>
      </c>
      <c r="E25" t="s">
        <v>500</v>
      </c>
      <c r="F25" t="s">
        <v>239</v>
      </c>
      <c r="G25" t="s">
        <v>240</v>
      </c>
      <c r="H25" t="s">
        <v>213</v>
      </c>
      <c r="I25" s="1" t="s">
        <v>531</v>
      </c>
      <c r="J25" t="s">
        <v>21</v>
      </c>
      <c r="K25" t="s">
        <v>22</v>
      </c>
    </row>
    <row r="26" spans="1:14" ht="30" customHeight="1" x14ac:dyDescent="0.3">
      <c r="A26" t="s">
        <v>222</v>
      </c>
      <c r="B26" s="9" t="s">
        <v>223</v>
      </c>
      <c r="C26" s="9" t="s">
        <v>224</v>
      </c>
      <c r="D26" s="37" t="s">
        <v>225</v>
      </c>
      <c r="E26" s="9" t="s">
        <v>506</v>
      </c>
      <c r="F26" s="9" t="s">
        <v>227</v>
      </c>
      <c r="G26" s="9" t="s">
        <v>228</v>
      </c>
      <c r="H26" s="9" t="s">
        <v>213</v>
      </c>
      <c r="I26" s="38" t="s">
        <v>568</v>
      </c>
      <c r="J26" s="9" t="s">
        <v>21</v>
      </c>
      <c r="K26" s="9" t="s">
        <v>22</v>
      </c>
      <c r="L26" s="9"/>
      <c r="M26" s="9"/>
      <c r="N26" s="9"/>
    </row>
    <row r="27" spans="1:14" ht="30" customHeight="1" x14ac:dyDescent="0.3">
      <c r="A27" t="s">
        <v>206</v>
      </c>
      <c r="B27" s="9" t="s">
        <v>207</v>
      </c>
      <c r="C27" s="9" t="s">
        <v>208</v>
      </c>
      <c r="D27" s="37" t="s">
        <v>209</v>
      </c>
      <c r="E27" s="9" t="s">
        <v>506</v>
      </c>
      <c r="F27" s="9" t="s">
        <v>211</v>
      </c>
      <c r="G27" s="9" t="s">
        <v>212</v>
      </c>
      <c r="H27" s="9" t="s">
        <v>213</v>
      </c>
      <c r="I27" s="38" t="s">
        <v>568</v>
      </c>
      <c r="J27" s="9" t="s">
        <v>21</v>
      </c>
      <c r="K27" s="9" t="s">
        <v>22</v>
      </c>
      <c r="L27" s="9"/>
      <c r="M27" s="9"/>
      <c r="N27" s="9"/>
    </row>
    <row r="28" spans="1:14" ht="30" customHeight="1" x14ac:dyDescent="0.3">
      <c r="A28" t="s">
        <v>241</v>
      </c>
      <c r="B28" s="9" t="s">
        <v>242</v>
      </c>
      <c r="C28" s="9" t="s">
        <v>243</v>
      </c>
      <c r="D28" s="37" t="s">
        <v>244</v>
      </c>
      <c r="E28" s="9" t="s">
        <v>506</v>
      </c>
      <c r="F28" s="9" t="s">
        <v>211</v>
      </c>
      <c r="G28" s="9" t="s">
        <v>245</v>
      </c>
      <c r="H28" s="9" t="s">
        <v>213</v>
      </c>
      <c r="I28" s="38" t="s">
        <v>568</v>
      </c>
      <c r="J28" s="9" t="s">
        <v>21</v>
      </c>
      <c r="K28" s="9" t="s">
        <v>22</v>
      </c>
      <c r="L28" s="9"/>
      <c r="M28" s="9"/>
      <c r="N28" s="9"/>
    </row>
    <row r="29" spans="1:14" ht="30" customHeight="1" x14ac:dyDescent="0.3">
      <c r="A29" t="s">
        <v>363</v>
      </c>
      <c r="B29" s="9" t="s">
        <v>364</v>
      </c>
      <c r="C29" s="9" t="s">
        <v>365</v>
      </c>
      <c r="D29" s="37" t="s">
        <v>366</v>
      </c>
      <c r="E29" s="9" t="s">
        <v>506</v>
      </c>
      <c r="F29" s="9" t="s">
        <v>368</v>
      </c>
      <c r="G29" s="9" t="s">
        <v>369</v>
      </c>
      <c r="H29" s="9" t="s">
        <v>370</v>
      </c>
      <c r="I29" s="38" t="s">
        <v>568</v>
      </c>
      <c r="J29" s="9" t="s">
        <v>21</v>
      </c>
      <c r="K29" s="9" t="s">
        <v>22</v>
      </c>
      <c r="L29" s="9"/>
      <c r="M29" s="9"/>
      <c r="N29" s="9"/>
    </row>
    <row r="30" spans="1:14" ht="30" customHeight="1" x14ac:dyDescent="0.3">
      <c r="A30" t="s">
        <v>199</v>
      </c>
      <c r="B30" s="9" t="s">
        <v>200</v>
      </c>
      <c r="C30" s="9" t="s">
        <v>201</v>
      </c>
      <c r="D30" s="37" t="s">
        <v>202</v>
      </c>
      <c r="E30" s="9" t="s">
        <v>508</v>
      </c>
      <c r="F30" s="9" t="s">
        <v>204</v>
      </c>
      <c r="G30" s="9" t="s">
        <v>205</v>
      </c>
      <c r="H30" s="9" t="s">
        <v>161</v>
      </c>
      <c r="I30" s="38" t="s">
        <v>554</v>
      </c>
      <c r="J30" s="9" t="s">
        <v>21</v>
      </c>
      <c r="K30" s="9" t="s">
        <v>22</v>
      </c>
      <c r="L30" s="9"/>
      <c r="M30" s="9"/>
      <c r="N30" s="9"/>
    </row>
    <row r="31" spans="1:14" ht="30" customHeight="1" x14ac:dyDescent="0.3">
      <c r="A31" t="s">
        <v>193</v>
      </c>
      <c r="B31" s="9" t="s">
        <v>194</v>
      </c>
      <c r="C31" s="9" t="s">
        <v>195</v>
      </c>
      <c r="D31" s="37" t="s">
        <v>196</v>
      </c>
      <c r="E31" s="9" t="s">
        <v>504</v>
      </c>
      <c r="F31" s="9" t="s">
        <v>137</v>
      </c>
      <c r="G31" s="9" t="s">
        <v>198</v>
      </c>
      <c r="H31" s="9" t="s">
        <v>161</v>
      </c>
      <c r="I31" s="38" t="s">
        <v>554</v>
      </c>
      <c r="J31" s="9" t="s">
        <v>21</v>
      </c>
      <c r="K31" s="9" t="s">
        <v>22</v>
      </c>
      <c r="L31" s="9"/>
      <c r="M31" s="9"/>
      <c r="N31" s="9"/>
    </row>
    <row r="32" spans="1:14" ht="30" customHeight="1" x14ac:dyDescent="0.3">
      <c r="A32" t="s">
        <v>169</v>
      </c>
      <c r="B32" s="9" t="s">
        <v>170</v>
      </c>
      <c r="C32" s="9" t="s">
        <v>171</v>
      </c>
      <c r="D32" s="37" t="s">
        <v>172</v>
      </c>
      <c r="E32" s="9" t="s">
        <v>500</v>
      </c>
      <c r="F32" s="9" t="s">
        <v>137</v>
      </c>
      <c r="G32" s="9" t="s">
        <v>174</v>
      </c>
      <c r="H32" s="9" t="s">
        <v>161</v>
      </c>
      <c r="I32" s="38" t="s">
        <v>569</v>
      </c>
      <c r="J32" s="9" t="s">
        <v>21</v>
      </c>
      <c r="K32" s="9" t="s">
        <v>22</v>
      </c>
      <c r="L32" s="9" t="s">
        <v>574</v>
      </c>
      <c r="M32" s="9" t="s">
        <v>575</v>
      </c>
      <c r="N32" s="9" t="s">
        <v>573</v>
      </c>
    </row>
    <row r="33" spans="1:14" ht="30" customHeight="1" x14ac:dyDescent="0.3">
      <c r="A33" t="s">
        <v>329</v>
      </c>
      <c r="B33" s="9" t="s">
        <v>330</v>
      </c>
      <c r="C33" s="9" t="s">
        <v>331</v>
      </c>
      <c r="D33" s="37" t="s">
        <v>332</v>
      </c>
      <c r="E33" s="9" t="s">
        <v>501</v>
      </c>
      <c r="F33" s="9" t="s">
        <v>211</v>
      </c>
      <c r="G33" s="9" t="s">
        <v>334</v>
      </c>
      <c r="H33" s="9" t="s">
        <v>335</v>
      </c>
      <c r="I33" s="38" t="s">
        <v>569</v>
      </c>
      <c r="J33" s="9" t="s">
        <v>21</v>
      </c>
      <c r="K33" s="9" t="s">
        <v>22</v>
      </c>
      <c r="L33" s="9" t="s">
        <v>574</v>
      </c>
      <c r="M33" s="9" t="s">
        <v>575</v>
      </c>
      <c r="N33" s="9" t="s">
        <v>573</v>
      </c>
    </row>
    <row r="34" spans="1:14" ht="30" customHeight="1" x14ac:dyDescent="0.3">
      <c r="A34" t="s">
        <v>163</v>
      </c>
      <c r="B34" s="9" t="s">
        <v>164</v>
      </c>
      <c r="C34" s="9" t="s">
        <v>165</v>
      </c>
      <c r="D34" s="37" t="s">
        <v>166</v>
      </c>
      <c r="E34" s="9" t="s">
        <v>510</v>
      </c>
      <c r="F34" s="9" t="s">
        <v>137</v>
      </c>
      <c r="G34" s="9" t="s">
        <v>168</v>
      </c>
      <c r="H34" s="9" t="s">
        <v>161</v>
      </c>
      <c r="I34" s="38" t="s">
        <v>570</v>
      </c>
      <c r="J34" s="9" t="s">
        <v>21</v>
      </c>
      <c r="K34" s="9" t="s">
        <v>22</v>
      </c>
      <c r="L34" s="39"/>
      <c r="M34" s="9"/>
      <c r="N34" s="9"/>
    </row>
    <row r="35" spans="1:14" ht="30" customHeight="1" x14ac:dyDescent="0.3">
      <c r="A35" t="s">
        <v>477</v>
      </c>
      <c r="B35" s="9" t="s">
        <v>478</v>
      </c>
      <c r="C35" s="9" t="s">
        <v>479</v>
      </c>
      <c r="D35" s="37" t="s">
        <v>480</v>
      </c>
      <c r="E35" s="9" t="s">
        <v>524</v>
      </c>
      <c r="F35" s="9" t="s">
        <v>438</v>
      </c>
      <c r="G35" s="9" t="s">
        <v>482</v>
      </c>
      <c r="H35" s="9" t="s">
        <v>455</v>
      </c>
      <c r="I35" s="38" t="s">
        <v>571</v>
      </c>
      <c r="J35" s="9" t="s">
        <v>21</v>
      </c>
      <c r="K35" s="9" t="s">
        <v>22</v>
      </c>
      <c r="L35" s="9"/>
      <c r="M35" s="9"/>
      <c r="N35" s="9"/>
    </row>
    <row r="36" spans="1:14" ht="30" customHeight="1" x14ac:dyDescent="0.3">
      <c r="A36" t="s">
        <v>418</v>
      </c>
      <c r="B36" s="9" t="s">
        <v>419</v>
      </c>
      <c r="C36" s="9" t="s">
        <v>420</v>
      </c>
      <c r="D36" s="37" t="s">
        <v>421</v>
      </c>
      <c r="E36" s="9" t="s">
        <v>524</v>
      </c>
      <c r="F36" s="9" t="s">
        <v>159</v>
      </c>
      <c r="G36" s="9" t="s">
        <v>422</v>
      </c>
      <c r="H36" s="9" t="s">
        <v>399</v>
      </c>
      <c r="I36" s="38" t="s">
        <v>549</v>
      </c>
      <c r="J36" s="9" t="s">
        <v>21</v>
      </c>
      <c r="K36" s="9" t="s">
        <v>22</v>
      </c>
      <c r="L36" s="9"/>
      <c r="M36" s="9"/>
      <c r="N36" s="9"/>
    </row>
    <row r="37" spans="1:14" ht="30" customHeight="1" x14ac:dyDescent="0.3">
      <c r="A37" t="s">
        <v>413</v>
      </c>
      <c r="B37" s="9" t="s">
        <v>414</v>
      </c>
      <c r="C37" s="9" t="s">
        <v>415</v>
      </c>
      <c r="D37" s="37" t="s">
        <v>416</v>
      </c>
      <c r="E37" s="9" t="s">
        <v>524</v>
      </c>
      <c r="F37" s="9" t="s">
        <v>159</v>
      </c>
      <c r="G37" s="9" t="s">
        <v>417</v>
      </c>
      <c r="H37" s="9" t="s">
        <v>399</v>
      </c>
      <c r="I37" s="38" t="s">
        <v>549</v>
      </c>
      <c r="J37" s="9" t="s">
        <v>21</v>
      </c>
      <c r="K37" s="9" t="s">
        <v>22</v>
      </c>
      <c r="L37" s="9"/>
      <c r="M37" s="9"/>
      <c r="N37" s="9"/>
    </row>
    <row r="38" spans="1:14" ht="30" customHeight="1" x14ac:dyDescent="0.3">
      <c r="A38" t="s">
        <v>408</v>
      </c>
      <c r="B38" s="9" t="s">
        <v>409</v>
      </c>
      <c r="C38" s="9" t="s">
        <v>410</v>
      </c>
      <c r="D38" s="37" t="s">
        <v>411</v>
      </c>
      <c r="E38" s="9" t="s">
        <v>524</v>
      </c>
      <c r="F38" s="9" t="s">
        <v>204</v>
      </c>
      <c r="G38" s="9" t="s">
        <v>412</v>
      </c>
      <c r="H38" s="9" t="s">
        <v>399</v>
      </c>
      <c r="I38" s="38" t="s">
        <v>549</v>
      </c>
      <c r="J38" s="9" t="s">
        <v>21</v>
      </c>
      <c r="K38" s="9" t="s">
        <v>22</v>
      </c>
      <c r="L38" s="9"/>
      <c r="M38" s="9"/>
      <c r="N38" s="9"/>
    </row>
    <row r="39" spans="1:14" ht="30" customHeight="1" x14ac:dyDescent="0.3">
      <c r="A39" t="s">
        <v>440</v>
      </c>
      <c r="B39" s="9" t="s">
        <v>441</v>
      </c>
      <c r="C39" s="9" t="s">
        <v>442</v>
      </c>
      <c r="D39" s="37" t="s">
        <v>443</v>
      </c>
      <c r="E39" s="9" t="s">
        <v>524</v>
      </c>
      <c r="F39" s="9" t="s">
        <v>445</v>
      </c>
      <c r="G39" s="9" t="s">
        <v>446</v>
      </c>
      <c r="H39" s="9" t="s">
        <v>399</v>
      </c>
      <c r="I39" s="38" t="s">
        <v>549</v>
      </c>
      <c r="J39" s="9" t="s">
        <v>21</v>
      </c>
      <c r="K39" s="9" t="s">
        <v>22</v>
      </c>
      <c r="L39" s="9"/>
      <c r="M39" s="9"/>
      <c r="N39" s="9"/>
    </row>
    <row r="40" spans="1:14" ht="30" customHeight="1" x14ac:dyDescent="0.3">
      <c r="A40" t="s">
        <v>464</v>
      </c>
      <c r="B40" s="9" t="s">
        <v>465</v>
      </c>
      <c r="C40" s="9" t="s">
        <v>466</v>
      </c>
      <c r="D40" s="37" t="s">
        <v>467</v>
      </c>
      <c r="E40" s="9" t="s">
        <v>524</v>
      </c>
      <c r="F40" s="9" t="s">
        <v>462</v>
      </c>
      <c r="G40" s="9" t="s">
        <v>469</v>
      </c>
      <c r="H40" s="9" t="s">
        <v>455</v>
      </c>
      <c r="I40" s="38" t="s">
        <v>549</v>
      </c>
      <c r="J40" s="9" t="s">
        <v>21</v>
      </c>
      <c r="K40" s="9" t="s">
        <v>22</v>
      </c>
      <c r="L40" s="9"/>
      <c r="M40" s="9"/>
      <c r="N40" s="9"/>
    </row>
    <row r="41" spans="1:14" ht="30" customHeight="1" x14ac:dyDescent="0.3">
      <c r="A41" t="s">
        <v>372</v>
      </c>
      <c r="B41" s="9" t="s">
        <v>373</v>
      </c>
      <c r="C41" s="9" t="s">
        <v>374</v>
      </c>
      <c r="D41" s="37" t="s">
        <v>375</v>
      </c>
      <c r="E41" s="9" t="s">
        <v>498</v>
      </c>
      <c r="F41" s="9" t="s">
        <v>137</v>
      </c>
      <c r="G41" s="9" t="s">
        <v>377</v>
      </c>
      <c r="H41" s="9" t="s">
        <v>378</v>
      </c>
      <c r="I41" s="38" t="s">
        <v>549</v>
      </c>
      <c r="J41" s="9" t="s">
        <v>21</v>
      </c>
      <c r="K41" s="9" t="s">
        <v>22</v>
      </c>
      <c r="L41" s="9"/>
      <c r="M41" s="9"/>
      <c r="N41" s="9"/>
    </row>
    <row r="42" spans="1:14" ht="30" customHeight="1" x14ac:dyDescent="0.3">
      <c r="A42" t="s">
        <v>428</v>
      </c>
      <c r="B42" s="9" t="s">
        <v>429</v>
      </c>
      <c r="C42" s="9" t="s">
        <v>430</v>
      </c>
      <c r="D42" s="37" t="s">
        <v>431</v>
      </c>
      <c r="E42" s="9" t="s">
        <v>524</v>
      </c>
      <c r="F42" s="9" t="s">
        <v>159</v>
      </c>
      <c r="G42" s="9" t="s">
        <v>432</v>
      </c>
      <c r="H42" s="9" t="s">
        <v>399</v>
      </c>
      <c r="I42" s="38" t="s">
        <v>548</v>
      </c>
      <c r="J42" s="9" t="s">
        <v>21</v>
      </c>
      <c r="K42" s="9" t="s">
        <v>22</v>
      </c>
      <c r="L42" s="9"/>
      <c r="M42" s="9"/>
      <c r="N42" s="9"/>
    </row>
    <row r="43" spans="1:14" ht="30" customHeight="1" x14ac:dyDescent="0.3">
      <c r="A43" t="s">
        <v>423</v>
      </c>
      <c r="B43" s="9" t="s">
        <v>424</v>
      </c>
      <c r="C43" s="9" t="s">
        <v>425</v>
      </c>
      <c r="D43" s="9" t="s">
        <v>426</v>
      </c>
      <c r="E43" s="9" t="s">
        <v>524</v>
      </c>
      <c r="F43" s="9" t="s">
        <v>159</v>
      </c>
      <c r="G43" s="9" t="s">
        <v>427</v>
      </c>
      <c r="H43" s="9" t="s">
        <v>399</v>
      </c>
      <c r="I43" s="38" t="s">
        <v>548</v>
      </c>
      <c r="J43" s="9" t="s">
        <v>21</v>
      </c>
      <c r="K43" s="9" t="s">
        <v>22</v>
      </c>
      <c r="L43" s="9"/>
      <c r="M43" s="9"/>
      <c r="N43" s="9"/>
    </row>
    <row r="44" spans="1:14" ht="30" customHeight="1" x14ac:dyDescent="0.3">
      <c r="A44" t="s">
        <v>401</v>
      </c>
      <c r="B44" s="9" t="s">
        <v>402</v>
      </c>
      <c r="C44" s="9" t="s">
        <v>403</v>
      </c>
      <c r="D44" s="37" t="s">
        <v>404</v>
      </c>
      <c r="E44" s="9" t="s">
        <v>524</v>
      </c>
      <c r="F44" s="9" t="s">
        <v>159</v>
      </c>
      <c r="G44" s="9" t="s">
        <v>407</v>
      </c>
      <c r="H44" s="9" t="s">
        <v>399</v>
      </c>
      <c r="I44" s="38" t="s">
        <v>548</v>
      </c>
      <c r="J44" s="9" t="s">
        <v>21</v>
      </c>
      <c r="K44" s="9" t="s">
        <v>22</v>
      </c>
      <c r="L44" s="9"/>
      <c r="M44" s="9"/>
      <c r="N44" s="9"/>
    </row>
    <row r="45" spans="1:14" ht="30" customHeight="1" x14ac:dyDescent="0.3">
      <c r="A45" t="s">
        <v>391</v>
      </c>
      <c r="B45" s="9" t="s">
        <v>392</v>
      </c>
      <c r="C45" s="9" t="s">
        <v>393</v>
      </c>
      <c r="D45" s="37" t="s">
        <v>394</v>
      </c>
      <c r="E45" s="9" t="s">
        <v>524</v>
      </c>
      <c r="F45" s="9" t="s">
        <v>397</v>
      </c>
      <c r="G45" s="9" t="s">
        <v>398</v>
      </c>
      <c r="H45" s="9" t="s">
        <v>399</v>
      </c>
      <c r="I45" s="38" t="s">
        <v>548</v>
      </c>
      <c r="J45" s="9" t="s">
        <v>21</v>
      </c>
      <c r="K45" s="9" t="s">
        <v>22</v>
      </c>
      <c r="L45" s="9" t="s">
        <v>576</v>
      </c>
      <c r="M45" s="9"/>
      <c r="N45" s="9"/>
    </row>
    <row r="46" spans="1:14" ht="30" customHeight="1" x14ac:dyDescent="0.3">
      <c r="A46" t="s">
        <v>483</v>
      </c>
      <c r="B46" s="9" t="s">
        <v>484</v>
      </c>
      <c r="C46" s="9" t="s">
        <v>485</v>
      </c>
      <c r="D46" s="37" t="s">
        <v>486</v>
      </c>
      <c r="E46" s="9" t="s">
        <v>524</v>
      </c>
      <c r="F46" s="9" t="s">
        <v>462</v>
      </c>
      <c r="G46" s="9" t="s">
        <v>487</v>
      </c>
      <c r="H46" s="9" t="s">
        <v>488</v>
      </c>
      <c r="I46" s="38" t="s">
        <v>548</v>
      </c>
      <c r="J46" s="9" t="s">
        <v>21</v>
      </c>
      <c r="K46" s="9" t="s">
        <v>22</v>
      </c>
      <c r="L46" s="9"/>
      <c r="M46" s="9"/>
      <c r="N46" s="9"/>
    </row>
    <row r="47" spans="1:14" ht="30" customHeight="1" x14ac:dyDescent="0.3">
      <c r="A47" t="s">
        <v>380</v>
      </c>
      <c r="B47" s="9" t="s">
        <v>381</v>
      </c>
      <c r="C47" s="9" t="s">
        <v>382</v>
      </c>
      <c r="D47" s="37" t="s">
        <v>383</v>
      </c>
      <c r="E47" s="9" t="s">
        <v>498</v>
      </c>
      <c r="F47" s="9" t="s">
        <v>137</v>
      </c>
      <c r="G47" s="9" t="s">
        <v>385</v>
      </c>
      <c r="H47" s="9" t="s">
        <v>378</v>
      </c>
      <c r="I47" s="38" t="s">
        <v>548</v>
      </c>
      <c r="J47" s="9" t="s">
        <v>21</v>
      </c>
      <c r="K47" s="9" t="s">
        <v>22</v>
      </c>
      <c r="L47" s="9"/>
      <c r="M47" s="9"/>
      <c r="N47" s="9"/>
    </row>
    <row r="48" spans="1:14" ht="30" customHeight="1" x14ac:dyDescent="0.3">
      <c r="A48" t="s">
        <v>433</v>
      </c>
      <c r="B48" s="9" t="s">
        <v>434</v>
      </c>
      <c r="C48" s="9" t="s">
        <v>435</v>
      </c>
      <c r="D48" s="37" t="s">
        <v>436</v>
      </c>
      <c r="E48" s="9" t="s">
        <v>524</v>
      </c>
      <c r="F48" s="9" t="s">
        <v>438</v>
      </c>
      <c r="G48" s="9" t="s">
        <v>439</v>
      </c>
      <c r="H48" s="9" t="s">
        <v>399</v>
      </c>
      <c r="I48" s="37" t="s">
        <v>563</v>
      </c>
      <c r="J48" s="9" t="s">
        <v>21</v>
      </c>
      <c r="K48" s="9" t="s">
        <v>22</v>
      </c>
      <c r="L48" s="9"/>
      <c r="M48" s="9"/>
      <c r="N48" s="9"/>
    </row>
    <row r="49" spans="1:14" ht="30" customHeight="1" x14ac:dyDescent="0.3">
      <c r="A49" t="s">
        <v>490</v>
      </c>
      <c r="B49" s="9" t="s">
        <v>572</v>
      </c>
      <c r="C49" s="9" t="s">
        <v>492</v>
      </c>
      <c r="D49" s="37" t="s">
        <v>493</v>
      </c>
      <c r="E49" s="9" t="s">
        <v>524</v>
      </c>
      <c r="F49" s="9" t="s">
        <v>495</v>
      </c>
      <c r="G49" s="9" t="s">
        <v>496</v>
      </c>
      <c r="H49" s="9" t="s">
        <v>488</v>
      </c>
      <c r="I49" s="37" t="s">
        <v>563</v>
      </c>
      <c r="J49" s="9" t="s">
        <v>21</v>
      </c>
      <c r="K49" s="9" t="s">
        <v>22</v>
      </c>
      <c r="L49" s="9"/>
      <c r="M49" s="9"/>
      <c r="N49" s="9"/>
    </row>
    <row r="50" spans="1:14" ht="30" customHeight="1" x14ac:dyDescent="0.3">
      <c r="A50" t="s">
        <v>470</v>
      </c>
      <c r="B50" s="9" t="s">
        <v>471</v>
      </c>
      <c r="C50" s="9" t="s">
        <v>472</v>
      </c>
      <c r="D50" s="37" t="s">
        <v>473</v>
      </c>
      <c r="E50" s="9" t="s">
        <v>524</v>
      </c>
      <c r="F50" s="9" t="s">
        <v>475</v>
      </c>
      <c r="G50" s="9" t="s">
        <v>476</v>
      </c>
      <c r="H50" s="9" t="s">
        <v>455</v>
      </c>
      <c r="I50" s="40" t="s">
        <v>563</v>
      </c>
      <c r="J50" s="9" t="s">
        <v>21</v>
      </c>
      <c r="K50" s="9" t="s">
        <v>22</v>
      </c>
      <c r="L50" s="9"/>
      <c r="M50" s="9"/>
      <c r="N50" s="9"/>
    </row>
    <row r="51" spans="1:14" ht="30" customHeight="1" x14ac:dyDescent="0.3">
      <c r="A51" t="s">
        <v>457</v>
      </c>
      <c r="B51" s="9" t="s">
        <v>458</v>
      </c>
      <c r="C51" s="9" t="s">
        <v>459</v>
      </c>
      <c r="D51" s="37" t="s">
        <v>460</v>
      </c>
      <c r="E51" s="9" t="s">
        <v>524</v>
      </c>
      <c r="F51" s="9" t="s">
        <v>462</v>
      </c>
      <c r="G51" s="9" t="s">
        <v>463</v>
      </c>
      <c r="H51" s="9" t="s">
        <v>455</v>
      </c>
      <c r="I51" s="37" t="s">
        <v>563</v>
      </c>
      <c r="J51" s="9" t="s">
        <v>21</v>
      </c>
      <c r="K51" s="9" t="s">
        <v>22</v>
      </c>
      <c r="L51" s="9"/>
      <c r="M51" s="9"/>
      <c r="N51" s="9"/>
    </row>
  </sheetData>
  <sortState xmlns:xlrd2="http://schemas.microsoft.com/office/spreadsheetml/2017/richdata2" ref="A23:N51">
    <sortCondition ref="B23:B5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AC21D-9A99-4115-9861-0C0E3277851F}">
  <dimension ref="A1:R60"/>
  <sheetViews>
    <sheetView topLeftCell="B1" workbookViewId="0">
      <pane ySplit="12" topLeftCell="A48" activePane="bottomLeft" state="frozen"/>
      <selection activeCell="B1" sqref="B1"/>
      <selection pane="bottomLeft" activeCell="Q57" sqref="Q57"/>
    </sheetView>
  </sheetViews>
  <sheetFormatPr defaultRowHeight="30" customHeight="1" outlineLevelRow="1" x14ac:dyDescent="0.3"/>
  <cols>
    <col min="1" max="1" width="0" hidden="1" customWidth="1"/>
    <col min="2" max="2" width="26.5546875" style="1" customWidth="1"/>
    <col min="3" max="3" width="27.77734375" customWidth="1"/>
    <col min="4" max="4" width="0" hidden="1" customWidth="1"/>
    <col min="5" max="5" width="32.44140625" hidden="1" customWidth="1"/>
    <col min="6" max="6" width="14.6640625" customWidth="1"/>
    <col min="7" max="7" width="10.44140625" hidden="1" customWidth="1"/>
    <col min="8" max="9" width="24" hidden="1" customWidth="1"/>
    <col min="10" max="10" width="24.109375" style="1" customWidth="1"/>
    <col min="11" max="12" width="24" hidden="1" customWidth="1"/>
    <col min="13" max="13" width="21.88671875" customWidth="1"/>
    <col min="14" max="14" width="14" customWidth="1"/>
    <col min="15" max="15" width="13.33203125" customWidth="1"/>
    <col min="16" max="16" width="10.6640625" customWidth="1"/>
  </cols>
  <sheetData>
    <row r="1" spans="1:18" ht="30" customHeight="1" x14ac:dyDescent="0.3">
      <c r="A1" t="s">
        <v>0</v>
      </c>
      <c r="B1" s="1" t="s">
        <v>4</v>
      </c>
      <c r="C1" t="s">
        <v>1</v>
      </c>
      <c r="D1" t="s">
        <v>2</v>
      </c>
      <c r="E1" t="s">
        <v>3</v>
      </c>
      <c r="F1" t="s">
        <v>520</v>
      </c>
      <c r="G1" t="s">
        <v>6</v>
      </c>
      <c r="H1" t="s">
        <v>7</v>
      </c>
      <c r="I1" t="s">
        <v>8</v>
      </c>
      <c r="J1" s="1" t="s">
        <v>9</v>
      </c>
      <c r="K1" t="s">
        <v>10</v>
      </c>
      <c r="L1" t="s">
        <v>11</v>
      </c>
      <c r="M1" t="s">
        <v>544</v>
      </c>
      <c r="N1" t="s">
        <v>545</v>
      </c>
      <c r="O1" t="s">
        <v>546</v>
      </c>
      <c r="P1" s="1" t="s">
        <v>550</v>
      </c>
      <c r="Q1" t="s">
        <v>551</v>
      </c>
      <c r="R1" t="s">
        <v>557</v>
      </c>
    </row>
    <row r="2" spans="1:18" ht="30" hidden="1" customHeight="1" outlineLevel="1" x14ac:dyDescent="0.3">
      <c r="A2" t="s">
        <v>12</v>
      </c>
      <c r="B2" s="1" t="s">
        <v>16</v>
      </c>
      <c r="C2" t="s">
        <v>13</v>
      </c>
      <c r="D2" t="s">
        <v>14</v>
      </c>
      <c r="E2" t="s">
        <v>15</v>
      </c>
      <c r="F2" t="s">
        <v>518</v>
      </c>
      <c r="G2" t="s">
        <v>17</v>
      </c>
      <c r="H2" t="s">
        <v>18</v>
      </c>
      <c r="I2" t="s">
        <v>19</v>
      </c>
      <c r="J2" s="4" t="s">
        <v>527</v>
      </c>
      <c r="K2" t="s">
        <v>21</v>
      </c>
      <c r="L2" t="s">
        <v>22</v>
      </c>
    </row>
    <row r="3" spans="1:18" ht="30" hidden="1" customHeight="1" outlineLevel="1" x14ac:dyDescent="0.3">
      <c r="A3" t="s">
        <v>23</v>
      </c>
      <c r="B3" s="1" t="s">
        <v>27</v>
      </c>
      <c r="C3" t="s">
        <v>24</v>
      </c>
      <c r="D3" t="s">
        <v>25</v>
      </c>
      <c r="E3" s="1" t="s">
        <v>26</v>
      </c>
      <c r="F3" t="s">
        <v>503</v>
      </c>
      <c r="G3" t="s">
        <v>28</v>
      </c>
      <c r="H3" t="s">
        <v>29</v>
      </c>
      <c r="I3" t="s">
        <v>19</v>
      </c>
      <c r="J3" s="4" t="s">
        <v>527</v>
      </c>
      <c r="K3" t="s">
        <v>21</v>
      </c>
      <c r="L3" t="s">
        <v>22</v>
      </c>
    </row>
    <row r="4" spans="1:18" ht="30" hidden="1" customHeight="1" outlineLevel="1" x14ac:dyDescent="0.3">
      <c r="A4" t="s">
        <v>30</v>
      </c>
      <c r="B4" s="1" t="s">
        <v>34</v>
      </c>
      <c r="C4" t="s">
        <v>31</v>
      </c>
      <c r="D4" t="s">
        <v>32</v>
      </c>
      <c r="E4" t="s">
        <v>33</v>
      </c>
      <c r="F4" t="s">
        <v>500</v>
      </c>
      <c r="G4" t="s">
        <v>35</v>
      </c>
      <c r="H4" t="s">
        <v>36</v>
      </c>
      <c r="I4" t="s">
        <v>19</v>
      </c>
      <c r="J4" s="4" t="s">
        <v>527</v>
      </c>
      <c r="K4" t="s">
        <v>21</v>
      </c>
      <c r="L4" t="s">
        <v>22</v>
      </c>
    </row>
    <row r="5" spans="1:18" ht="30" hidden="1" customHeight="1" outlineLevel="1" x14ac:dyDescent="0.3">
      <c r="A5" t="s">
        <v>37</v>
      </c>
      <c r="B5" s="1" t="s">
        <v>41</v>
      </c>
      <c r="C5" t="s">
        <v>38</v>
      </c>
      <c r="D5" t="s">
        <v>39</v>
      </c>
      <c r="E5" s="1" t="s">
        <v>40</v>
      </c>
      <c r="F5" t="s">
        <v>505</v>
      </c>
      <c r="G5" t="s">
        <v>35</v>
      </c>
      <c r="H5" t="s">
        <v>42</v>
      </c>
      <c r="I5" t="s">
        <v>19</v>
      </c>
      <c r="J5" s="4" t="s">
        <v>527</v>
      </c>
      <c r="K5" t="s">
        <v>21</v>
      </c>
      <c r="L5" t="s">
        <v>22</v>
      </c>
    </row>
    <row r="6" spans="1:18" ht="30" hidden="1" customHeight="1" outlineLevel="1" x14ac:dyDescent="0.3">
      <c r="A6" t="s">
        <v>43</v>
      </c>
      <c r="B6" s="1" t="s">
        <v>47</v>
      </c>
      <c r="C6" t="s">
        <v>44</v>
      </c>
      <c r="D6" t="s">
        <v>45</v>
      </c>
      <c r="E6" s="1" t="s">
        <v>46</v>
      </c>
      <c r="F6" t="s">
        <v>519</v>
      </c>
      <c r="G6" t="s">
        <v>35</v>
      </c>
      <c r="H6" t="s">
        <v>48</v>
      </c>
      <c r="I6" t="s">
        <v>19</v>
      </c>
      <c r="J6" s="4" t="s">
        <v>527</v>
      </c>
      <c r="K6" t="s">
        <v>21</v>
      </c>
      <c r="L6" t="s">
        <v>22</v>
      </c>
    </row>
    <row r="7" spans="1:18" ht="30" hidden="1" customHeight="1" outlineLevel="1" x14ac:dyDescent="0.3">
      <c r="A7" t="s">
        <v>49</v>
      </c>
      <c r="B7" s="1" t="s">
        <v>53</v>
      </c>
      <c r="C7" t="s">
        <v>50</v>
      </c>
      <c r="D7" t="s">
        <v>51</v>
      </c>
      <c r="E7" s="1" t="s">
        <v>52</v>
      </c>
      <c r="F7" t="s">
        <v>498</v>
      </c>
      <c r="G7" t="s">
        <v>54</v>
      </c>
      <c r="H7" t="s">
        <v>55</v>
      </c>
      <c r="I7" t="s">
        <v>19</v>
      </c>
      <c r="J7" s="4" t="s">
        <v>527</v>
      </c>
      <c r="K7" t="s">
        <v>21</v>
      </c>
      <c r="L7" t="s">
        <v>22</v>
      </c>
    </row>
    <row r="8" spans="1:18" ht="30" hidden="1" customHeight="1" outlineLevel="1" x14ac:dyDescent="0.3">
      <c r="A8" t="s">
        <v>56</v>
      </c>
      <c r="B8" s="1" t="s">
        <v>60</v>
      </c>
      <c r="C8" t="s">
        <v>57</v>
      </c>
      <c r="D8" t="s">
        <v>58</v>
      </c>
      <c r="E8" s="1" t="s">
        <v>59</v>
      </c>
      <c r="F8" t="s">
        <v>505</v>
      </c>
      <c r="G8" t="s">
        <v>61</v>
      </c>
      <c r="H8" t="s">
        <v>62</v>
      </c>
      <c r="I8" t="s">
        <v>19</v>
      </c>
      <c r="J8" s="4" t="s">
        <v>527</v>
      </c>
      <c r="K8" t="s">
        <v>21</v>
      </c>
      <c r="L8" t="s">
        <v>22</v>
      </c>
    </row>
    <row r="9" spans="1:18" ht="30" hidden="1" customHeight="1" outlineLevel="1" x14ac:dyDescent="0.3">
      <c r="A9" t="s">
        <v>63</v>
      </c>
      <c r="B9" s="1" t="s">
        <v>67</v>
      </c>
      <c r="C9" t="s">
        <v>64</v>
      </c>
      <c r="D9" t="s">
        <v>65</v>
      </c>
      <c r="E9" s="1" t="s">
        <v>66</v>
      </c>
      <c r="F9" t="s">
        <v>505</v>
      </c>
      <c r="H9" t="s">
        <v>68</v>
      </c>
      <c r="I9" t="s">
        <v>19</v>
      </c>
      <c r="J9" s="4" t="s">
        <v>527</v>
      </c>
      <c r="K9" t="s">
        <v>21</v>
      </c>
      <c r="L9" t="s">
        <v>22</v>
      </c>
    </row>
    <row r="10" spans="1:18" ht="30" hidden="1" customHeight="1" outlineLevel="1" x14ac:dyDescent="0.3">
      <c r="A10" t="s">
        <v>69</v>
      </c>
      <c r="B10" s="1" t="s">
        <v>73</v>
      </c>
      <c r="C10" t="s">
        <v>70</v>
      </c>
      <c r="D10" t="s">
        <v>71</v>
      </c>
      <c r="E10" s="1" t="s">
        <v>72</v>
      </c>
      <c r="F10" t="s">
        <v>500</v>
      </c>
      <c r="G10" t="s">
        <v>74</v>
      </c>
      <c r="H10" t="s">
        <v>75</v>
      </c>
      <c r="I10" t="s">
        <v>19</v>
      </c>
      <c r="J10" s="4" t="s">
        <v>527</v>
      </c>
      <c r="K10" t="s">
        <v>21</v>
      </c>
      <c r="L10" t="s">
        <v>22</v>
      </c>
    </row>
    <row r="11" spans="1:18" ht="30" hidden="1" customHeight="1" outlineLevel="1" x14ac:dyDescent="0.3">
      <c r="A11" t="s">
        <v>76</v>
      </c>
      <c r="B11" s="1" t="s">
        <v>80</v>
      </c>
      <c r="C11" t="s">
        <v>77</v>
      </c>
      <c r="D11" t="s">
        <v>78</v>
      </c>
      <c r="E11" s="1" t="s">
        <v>79</v>
      </c>
      <c r="F11" t="s">
        <v>498</v>
      </c>
      <c r="G11" t="s">
        <v>81</v>
      </c>
      <c r="H11" t="s">
        <v>82</v>
      </c>
      <c r="I11" t="s">
        <v>19</v>
      </c>
      <c r="J11" s="4" t="s">
        <v>527</v>
      </c>
      <c r="K11" t="s">
        <v>21</v>
      </c>
      <c r="L11" t="s">
        <v>22</v>
      </c>
    </row>
    <row r="12" spans="1:18" ht="30" hidden="1" customHeight="1" outlineLevel="1" x14ac:dyDescent="0.3">
      <c r="A12" t="s">
        <v>83</v>
      </c>
      <c r="B12" s="1" t="s">
        <v>87</v>
      </c>
      <c r="C12" t="s">
        <v>84</v>
      </c>
      <c r="D12" t="s">
        <v>85</v>
      </c>
      <c r="E12" s="1" t="s">
        <v>86</v>
      </c>
      <c r="F12" t="s">
        <v>500</v>
      </c>
      <c r="G12" t="s">
        <v>88</v>
      </c>
      <c r="H12" t="s">
        <v>89</v>
      </c>
      <c r="I12" t="s">
        <v>19</v>
      </c>
      <c r="J12" s="4" t="s">
        <v>527</v>
      </c>
      <c r="K12" t="s">
        <v>21</v>
      </c>
      <c r="L12" t="s">
        <v>22</v>
      </c>
      <c r="N12">
        <v>11</v>
      </c>
    </row>
    <row r="13" spans="1:18" ht="30" customHeight="1" collapsed="1" x14ac:dyDescent="0.3">
      <c r="A13" t="s">
        <v>114</v>
      </c>
      <c r="B13" s="1" t="s">
        <v>118</v>
      </c>
      <c r="C13" t="s">
        <v>115</v>
      </c>
      <c r="D13" t="s">
        <v>116</v>
      </c>
      <c r="E13" t="s">
        <v>117</v>
      </c>
      <c r="F13" t="s">
        <v>500</v>
      </c>
      <c r="G13" t="s">
        <v>120</v>
      </c>
      <c r="H13" t="s">
        <v>121</v>
      </c>
      <c r="I13" t="s">
        <v>122</v>
      </c>
      <c r="J13" s="1" t="s">
        <v>528</v>
      </c>
      <c r="K13" t="s">
        <v>21</v>
      </c>
      <c r="L13" t="s">
        <v>22</v>
      </c>
      <c r="M13" s="8">
        <v>1</v>
      </c>
    </row>
    <row r="14" spans="1:18" ht="30" customHeight="1" x14ac:dyDescent="0.3">
      <c r="A14" t="s">
        <v>124</v>
      </c>
      <c r="B14" s="1" t="s">
        <v>53</v>
      </c>
      <c r="C14" t="s">
        <v>125</v>
      </c>
      <c r="D14" t="s">
        <v>126</v>
      </c>
      <c r="E14" s="1" t="s">
        <v>127</v>
      </c>
      <c r="F14" t="s">
        <v>541</v>
      </c>
      <c r="G14" t="s">
        <v>129</v>
      </c>
      <c r="H14" t="s">
        <v>130</v>
      </c>
      <c r="I14" t="s">
        <v>131</v>
      </c>
      <c r="J14" s="1" t="s">
        <v>529</v>
      </c>
      <c r="K14" t="s">
        <v>21</v>
      </c>
      <c r="L14" t="s">
        <v>22</v>
      </c>
      <c r="M14">
        <v>1</v>
      </c>
    </row>
    <row r="15" spans="1:18" ht="30" customHeight="1" x14ac:dyDescent="0.3">
      <c r="A15" t="s">
        <v>154</v>
      </c>
      <c r="B15" s="1" t="s">
        <v>158</v>
      </c>
      <c r="C15" t="s">
        <v>155</v>
      </c>
      <c r="D15" t="s">
        <v>156</v>
      </c>
      <c r="E15" s="1" t="s">
        <v>157</v>
      </c>
      <c r="F15" t="s">
        <v>503</v>
      </c>
      <c r="G15" t="s">
        <v>159</v>
      </c>
      <c r="H15" t="s">
        <v>160</v>
      </c>
      <c r="I15" t="s">
        <v>161</v>
      </c>
      <c r="J15" s="1" t="s">
        <v>530</v>
      </c>
      <c r="K15" t="s">
        <v>21</v>
      </c>
      <c r="L15" t="s">
        <v>22</v>
      </c>
      <c r="M15">
        <v>1</v>
      </c>
    </row>
    <row r="16" spans="1:18" ht="30" customHeight="1" x14ac:dyDescent="0.3">
      <c r="A16" t="s">
        <v>175</v>
      </c>
      <c r="B16" s="1" t="s">
        <v>179</v>
      </c>
      <c r="C16" t="s">
        <v>176</v>
      </c>
      <c r="D16" t="s">
        <v>177</v>
      </c>
      <c r="E16" s="1" t="s">
        <v>178</v>
      </c>
      <c r="F16" t="s">
        <v>508</v>
      </c>
      <c r="G16" t="s">
        <v>180</v>
      </c>
      <c r="H16" t="s">
        <v>181</v>
      </c>
      <c r="I16" t="s">
        <v>161</v>
      </c>
      <c r="J16" s="1" t="s">
        <v>530</v>
      </c>
      <c r="K16" t="s">
        <v>21</v>
      </c>
      <c r="L16" t="s">
        <v>22</v>
      </c>
      <c r="M16">
        <v>1</v>
      </c>
      <c r="R16">
        <v>1</v>
      </c>
    </row>
    <row r="17" spans="1:18" ht="30" customHeight="1" x14ac:dyDescent="0.3">
      <c r="A17" t="s">
        <v>193</v>
      </c>
      <c r="B17" s="1" t="s">
        <v>197</v>
      </c>
      <c r="C17" t="s">
        <v>194</v>
      </c>
      <c r="D17" t="s">
        <v>195</v>
      </c>
      <c r="E17" s="1" t="s">
        <v>196</v>
      </c>
      <c r="F17" t="s">
        <v>504</v>
      </c>
      <c r="G17" t="s">
        <v>137</v>
      </c>
      <c r="H17" t="s">
        <v>198</v>
      </c>
      <c r="I17" t="s">
        <v>161</v>
      </c>
      <c r="J17" s="1" t="s">
        <v>530</v>
      </c>
      <c r="K17" t="s">
        <v>21</v>
      </c>
      <c r="L17" t="s">
        <v>22</v>
      </c>
      <c r="M17">
        <v>1</v>
      </c>
      <c r="R17">
        <v>1</v>
      </c>
    </row>
    <row r="18" spans="1:18" ht="30" customHeight="1" x14ac:dyDescent="0.3">
      <c r="A18" t="s">
        <v>199</v>
      </c>
      <c r="B18" s="1" t="s">
        <v>203</v>
      </c>
      <c r="C18" t="s">
        <v>200</v>
      </c>
      <c r="D18" t="s">
        <v>201</v>
      </c>
      <c r="E18" s="1" t="s">
        <v>202</v>
      </c>
      <c r="F18" t="s">
        <v>508</v>
      </c>
      <c r="G18" t="s">
        <v>204</v>
      </c>
      <c r="H18" t="s">
        <v>205</v>
      </c>
      <c r="I18" t="s">
        <v>161</v>
      </c>
      <c r="J18" s="1" t="s">
        <v>530</v>
      </c>
      <c r="K18" t="s">
        <v>21</v>
      </c>
      <c r="L18" t="s">
        <v>22</v>
      </c>
      <c r="M18">
        <v>1</v>
      </c>
      <c r="R18">
        <v>1</v>
      </c>
    </row>
    <row r="19" spans="1:18" ht="30" customHeight="1" x14ac:dyDescent="0.3">
      <c r="A19" t="s">
        <v>215</v>
      </c>
      <c r="B19" s="1" t="s">
        <v>219</v>
      </c>
      <c r="C19" t="s">
        <v>216</v>
      </c>
      <c r="D19" t="s">
        <v>217</v>
      </c>
      <c r="E19" s="1" t="s">
        <v>218</v>
      </c>
      <c r="F19" t="s">
        <v>512</v>
      </c>
      <c r="G19" t="s">
        <v>220</v>
      </c>
      <c r="H19" t="s">
        <v>221</v>
      </c>
      <c r="I19" t="s">
        <v>213</v>
      </c>
      <c r="J19" s="1" t="s">
        <v>531</v>
      </c>
      <c r="K19" t="s">
        <v>21</v>
      </c>
      <c r="L19" t="s">
        <v>22</v>
      </c>
      <c r="M19">
        <v>1</v>
      </c>
      <c r="N19">
        <v>1</v>
      </c>
    </row>
    <row r="20" spans="1:18" ht="30" customHeight="1" x14ac:dyDescent="0.3">
      <c r="A20" t="s">
        <v>206</v>
      </c>
      <c r="B20" s="1" t="s">
        <v>210</v>
      </c>
      <c r="C20" t="s">
        <v>207</v>
      </c>
      <c r="D20" t="s">
        <v>208</v>
      </c>
      <c r="E20" s="1" t="s">
        <v>209</v>
      </c>
      <c r="F20" t="s">
        <v>506</v>
      </c>
      <c r="G20" t="s">
        <v>211</v>
      </c>
      <c r="H20" t="s">
        <v>212</v>
      </c>
      <c r="I20" t="s">
        <v>213</v>
      </c>
      <c r="J20" s="1" t="s">
        <v>531</v>
      </c>
      <c r="K20" t="s">
        <v>21</v>
      </c>
      <c r="L20" t="s">
        <v>22</v>
      </c>
      <c r="Q20">
        <v>1</v>
      </c>
    </row>
    <row r="21" spans="1:18" ht="30" customHeight="1" x14ac:dyDescent="0.3">
      <c r="A21" t="s">
        <v>222</v>
      </c>
      <c r="B21" s="1" t="s">
        <v>226</v>
      </c>
      <c r="C21" t="s">
        <v>223</v>
      </c>
      <c r="D21" t="s">
        <v>224</v>
      </c>
      <c r="E21" s="1" t="s">
        <v>225</v>
      </c>
      <c r="F21" t="s">
        <v>506</v>
      </c>
      <c r="G21" t="s">
        <v>227</v>
      </c>
      <c r="H21" t="s">
        <v>228</v>
      </c>
      <c r="I21" t="s">
        <v>213</v>
      </c>
      <c r="J21" s="1" t="s">
        <v>531</v>
      </c>
      <c r="K21" t="s">
        <v>21</v>
      </c>
      <c r="L21" t="s">
        <v>22</v>
      </c>
      <c r="Q21">
        <v>1</v>
      </c>
    </row>
    <row r="22" spans="1:18" ht="30" customHeight="1" x14ac:dyDescent="0.3">
      <c r="A22" t="s">
        <v>229</v>
      </c>
      <c r="B22" s="1" t="s">
        <v>226</v>
      </c>
      <c r="C22" t="s">
        <v>230</v>
      </c>
      <c r="D22" t="s">
        <v>231</v>
      </c>
      <c r="E22" s="1" t="s">
        <v>232</v>
      </c>
      <c r="F22" t="s">
        <v>506</v>
      </c>
      <c r="G22" t="s">
        <v>211</v>
      </c>
      <c r="H22" t="s">
        <v>233</v>
      </c>
      <c r="I22" t="s">
        <v>213</v>
      </c>
      <c r="J22" s="1" t="s">
        <v>531</v>
      </c>
      <c r="K22" t="s">
        <v>21</v>
      </c>
      <c r="L22" t="s">
        <v>22</v>
      </c>
      <c r="Q22">
        <v>1</v>
      </c>
    </row>
    <row r="23" spans="1:18" ht="30" customHeight="1" x14ac:dyDescent="0.3">
      <c r="A23" t="s">
        <v>241</v>
      </c>
      <c r="B23" s="1" t="s">
        <v>226</v>
      </c>
      <c r="C23" t="s">
        <v>242</v>
      </c>
      <c r="D23" t="s">
        <v>243</v>
      </c>
      <c r="E23" s="1" t="s">
        <v>244</v>
      </c>
      <c r="F23" t="s">
        <v>506</v>
      </c>
      <c r="G23" t="s">
        <v>211</v>
      </c>
      <c r="H23" t="s">
        <v>245</v>
      </c>
      <c r="I23" t="s">
        <v>213</v>
      </c>
      <c r="J23" s="1" t="s">
        <v>531</v>
      </c>
      <c r="K23" t="s">
        <v>21</v>
      </c>
      <c r="L23" t="s">
        <v>22</v>
      </c>
      <c r="Q23">
        <v>1</v>
      </c>
    </row>
    <row r="24" spans="1:18" ht="30" customHeight="1" x14ac:dyDescent="0.3">
      <c r="A24" t="s">
        <v>234</v>
      </c>
      <c r="B24" s="1" t="s">
        <v>238</v>
      </c>
      <c r="C24" t="s">
        <v>235</v>
      </c>
      <c r="D24" t="s">
        <v>236</v>
      </c>
      <c r="E24" s="1" t="s">
        <v>237</v>
      </c>
      <c r="F24" t="s">
        <v>500</v>
      </c>
      <c r="G24" t="s">
        <v>239</v>
      </c>
      <c r="H24" t="s">
        <v>240</v>
      </c>
      <c r="I24" t="s">
        <v>213</v>
      </c>
      <c r="J24" s="1" t="s">
        <v>531</v>
      </c>
      <c r="K24" t="s">
        <v>21</v>
      </c>
      <c r="L24" t="s">
        <v>22</v>
      </c>
      <c r="M24">
        <v>1</v>
      </c>
      <c r="N24">
        <v>1</v>
      </c>
    </row>
    <row r="25" spans="1:18" ht="30" customHeight="1" x14ac:dyDescent="0.3">
      <c r="A25" t="s">
        <v>246</v>
      </c>
      <c r="B25" s="1" t="s">
        <v>250</v>
      </c>
      <c r="C25" t="s">
        <v>247</v>
      </c>
      <c r="D25" t="s">
        <v>248</v>
      </c>
      <c r="E25" s="1" t="s">
        <v>249</v>
      </c>
      <c r="F25" t="s">
        <v>500</v>
      </c>
      <c r="G25" t="s">
        <v>180</v>
      </c>
      <c r="H25" t="s">
        <v>251</v>
      </c>
      <c r="I25" t="s">
        <v>213</v>
      </c>
      <c r="J25" s="1" t="s">
        <v>531</v>
      </c>
      <c r="K25" t="s">
        <v>21</v>
      </c>
      <c r="L25" t="s">
        <v>22</v>
      </c>
      <c r="M25">
        <v>1</v>
      </c>
      <c r="N25">
        <v>1</v>
      </c>
    </row>
    <row r="26" spans="1:18" ht="30" customHeight="1" x14ac:dyDescent="0.3">
      <c r="A26" t="s">
        <v>252</v>
      </c>
      <c r="B26" s="1" t="s">
        <v>256</v>
      </c>
      <c r="C26" t="s">
        <v>253</v>
      </c>
      <c r="D26" t="s">
        <v>254</v>
      </c>
      <c r="E26" s="1" t="s">
        <v>255</v>
      </c>
      <c r="F26" t="s">
        <v>500</v>
      </c>
      <c r="G26" t="s">
        <v>257</v>
      </c>
      <c r="H26" t="s">
        <v>258</v>
      </c>
      <c r="I26" t="s">
        <v>259</v>
      </c>
      <c r="J26" s="1" t="s">
        <v>532</v>
      </c>
      <c r="K26" t="s">
        <v>21</v>
      </c>
      <c r="L26" t="s">
        <v>22</v>
      </c>
      <c r="M26">
        <v>1</v>
      </c>
      <c r="N26">
        <v>1</v>
      </c>
    </row>
    <row r="27" spans="1:18" ht="30" customHeight="1" x14ac:dyDescent="0.3">
      <c r="A27" t="s">
        <v>261</v>
      </c>
      <c r="B27" s="1" t="s">
        <v>256</v>
      </c>
      <c r="C27" t="s">
        <v>262</v>
      </c>
      <c r="D27" t="s">
        <v>263</v>
      </c>
      <c r="E27" s="1" t="s">
        <v>264</v>
      </c>
      <c r="F27" t="s">
        <v>500</v>
      </c>
      <c r="G27" t="s">
        <v>265</v>
      </c>
      <c r="H27" t="s">
        <v>266</v>
      </c>
      <c r="I27" t="s">
        <v>259</v>
      </c>
      <c r="J27" s="1" t="s">
        <v>532</v>
      </c>
      <c r="K27" t="s">
        <v>21</v>
      </c>
      <c r="L27" t="s">
        <v>22</v>
      </c>
      <c r="M27">
        <v>1</v>
      </c>
      <c r="N27">
        <v>1</v>
      </c>
    </row>
    <row r="28" spans="1:18" ht="30" customHeight="1" x14ac:dyDescent="0.3">
      <c r="A28" t="s">
        <v>363</v>
      </c>
      <c r="B28" s="1" t="s">
        <v>367</v>
      </c>
      <c r="C28" t="s">
        <v>364</v>
      </c>
      <c r="D28" t="s">
        <v>365</v>
      </c>
      <c r="E28" s="1" t="s">
        <v>366</v>
      </c>
      <c r="F28" t="s">
        <v>506</v>
      </c>
      <c r="G28" t="s">
        <v>368</v>
      </c>
      <c r="H28" t="s">
        <v>369</v>
      </c>
      <c r="I28" t="s">
        <v>370</v>
      </c>
      <c r="J28" s="1" t="s">
        <v>556</v>
      </c>
      <c r="K28" t="s">
        <v>21</v>
      </c>
      <c r="L28" t="s">
        <v>22</v>
      </c>
      <c r="O28">
        <v>1</v>
      </c>
      <c r="Q28">
        <v>1</v>
      </c>
    </row>
    <row r="29" spans="1:18" ht="30" customHeight="1" thickBot="1" x14ac:dyDescent="0.35">
      <c r="A29" t="s">
        <v>163</v>
      </c>
      <c r="B29" s="31" t="s">
        <v>167</v>
      </c>
      <c r="C29" s="32" t="s">
        <v>164</v>
      </c>
      <c r="D29" s="32" t="s">
        <v>165</v>
      </c>
      <c r="E29" s="31" t="s">
        <v>166</v>
      </c>
      <c r="F29" s="32" t="s">
        <v>510</v>
      </c>
      <c r="G29" s="32" t="s">
        <v>137</v>
      </c>
      <c r="H29" s="32" t="s">
        <v>168</v>
      </c>
      <c r="I29" s="32" t="s">
        <v>161</v>
      </c>
      <c r="J29" s="31" t="s">
        <v>556</v>
      </c>
      <c r="K29" s="32" t="s">
        <v>21</v>
      </c>
      <c r="L29" s="32" t="s">
        <v>22</v>
      </c>
      <c r="M29" s="33">
        <v>1</v>
      </c>
      <c r="N29" s="32"/>
      <c r="O29" s="32"/>
      <c r="P29" s="32"/>
      <c r="Q29" s="32"/>
      <c r="R29" s="32"/>
    </row>
    <row r="30" spans="1:18" ht="30" customHeight="1" x14ac:dyDescent="0.3">
      <c r="A30" t="s">
        <v>329</v>
      </c>
      <c r="B30" s="1" t="s">
        <v>333</v>
      </c>
      <c r="C30" t="s">
        <v>330</v>
      </c>
      <c r="D30" t="s">
        <v>331</v>
      </c>
      <c r="E30" s="1" t="s">
        <v>332</v>
      </c>
      <c r="F30" t="s">
        <v>501</v>
      </c>
      <c r="G30" t="s">
        <v>211</v>
      </c>
      <c r="H30" t="s">
        <v>334</v>
      </c>
      <c r="I30" t="s">
        <v>335</v>
      </c>
      <c r="J30" s="1" t="s">
        <v>555</v>
      </c>
      <c r="K30" t="s">
        <v>21</v>
      </c>
      <c r="L30" t="s">
        <v>22</v>
      </c>
      <c r="M30">
        <v>1</v>
      </c>
      <c r="P30">
        <v>1</v>
      </c>
    </row>
    <row r="31" spans="1:18" ht="30" customHeight="1" x14ac:dyDescent="0.3">
      <c r="A31" t="s">
        <v>169</v>
      </c>
      <c r="B31" s="1" t="s">
        <v>173</v>
      </c>
      <c r="C31" t="s">
        <v>170</v>
      </c>
      <c r="D31" t="s">
        <v>171</v>
      </c>
      <c r="E31" s="1" t="s">
        <v>172</v>
      </c>
      <c r="F31" t="s">
        <v>500</v>
      </c>
      <c r="G31" t="s">
        <v>137</v>
      </c>
      <c r="H31" t="s">
        <v>174</v>
      </c>
      <c r="I31" t="s">
        <v>161</v>
      </c>
      <c r="J31" s="1" t="s">
        <v>555</v>
      </c>
      <c r="K31" t="s">
        <v>21</v>
      </c>
      <c r="L31" t="s">
        <v>22</v>
      </c>
      <c r="M31">
        <v>1</v>
      </c>
    </row>
    <row r="32" spans="1:18" ht="30" customHeight="1" x14ac:dyDescent="0.3">
      <c r="A32" t="s">
        <v>386</v>
      </c>
      <c r="B32" s="1" t="s">
        <v>53</v>
      </c>
      <c r="C32" t="s">
        <v>387</v>
      </c>
      <c r="D32" t="s">
        <v>388</v>
      </c>
      <c r="E32" s="1" t="s">
        <v>389</v>
      </c>
      <c r="F32" t="s">
        <v>498</v>
      </c>
      <c r="G32" t="s">
        <v>137</v>
      </c>
      <c r="H32" t="s">
        <v>390</v>
      </c>
      <c r="I32" t="s">
        <v>378</v>
      </c>
      <c r="J32" s="7" t="s">
        <v>554</v>
      </c>
      <c r="K32" t="s">
        <v>21</v>
      </c>
      <c r="L32" t="s">
        <v>22</v>
      </c>
      <c r="P32">
        <v>1</v>
      </c>
    </row>
    <row r="33" spans="1:18" ht="30" customHeight="1" x14ac:dyDescent="0.3">
      <c r="A33" t="s">
        <v>342</v>
      </c>
      <c r="B33" s="1" t="s">
        <v>346</v>
      </c>
      <c r="C33" t="s">
        <v>343</v>
      </c>
      <c r="D33" t="s">
        <v>344</v>
      </c>
      <c r="E33" s="1" t="s">
        <v>345</v>
      </c>
      <c r="F33" t="s">
        <v>500</v>
      </c>
      <c r="G33" t="s">
        <v>347</v>
      </c>
      <c r="H33" t="s">
        <v>348</v>
      </c>
      <c r="I33" t="s">
        <v>335</v>
      </c>
      <c r="J33" s="7" t="s">
        <v>554</v>
      </c>
      <c r="K33" t="s">
        <v>21</v>
      </c>
      <c r="L33" t="s">
        <v>22</v>
      </c>
      <c r="P33">
        <v>1</v>
      </c>
    </row>
    <row r="34" spans="1:18" ht="30" customHeight="1" x14ac:dyDescent="0.3">
      <c r="A34" t="s">
        <v>372</v>
      </c>
      <c r="B34" s="1" t="s">
        <v>376</v>
      </c>
      <c r="C34" s="34" t="s">
        <v>373</v>
      </c>
      <c r="D34" t="s">
        <v>374</v>
      </c>
      <c r="E34" s="1" t="s">
        <v>375</v>
      </c>
      <c r="F34" t="s">
        <v>498</v>
      </c>
      <c r="G34" t="s">
        <v>137</v>
      </c>
      <c r="H34" t="s">
        <v>377</v>
      </c>
      <c r="I34" t="s">
        <v>378</v>
      </c>
      <c r="J34" s="5" t="s">
        <v>536</v>
      </c>
      <c r="K34" t="s">
        <v>21</v>
      </c>
      <c r="L34" t="s">
        <v>22</v>
      </c>
      <c r="M34">
        <v>1</v>
      </c>
      <c r="P34">
        <v>1</v>
      </c>
    </row>
    <row r="35" spans="1:18" ht="30" customHeight="1" x14ac:dyDescent="0.3">
      <c r="A35" t="s">
        <v>391</v>
      </c>
      <c r="B35" s="1" t="s">
        <v>395</v>
      </c>
      <c r="C35" s="34" t="s">
        <v>392</v>
      </c>
      <c r="D35" t="s">
        <v>393</v>
      </c>
      <c r="E35" s="1" t="s">
        <v>394</v>
      </c>
      <c r="F35" t="s">
        <v>524</v>
      </c>
      <c r="G35" t="s">
        <v>397</v>
      </c>
      <c r="H35" t="s">
        <v>398</v>
      </c>
      <c r="I35" t="s">
        <v>399</v>
      </c>
      <c r="J35" s="5" t="s">
        <v>536</v>
      </c>
      <c r="K35" t="s">
        <v>21</v>
      </c>
      <c r="L35" t="s">
        <v>22</v>
      </c>
    </row>
    <row r="36" spans="1:18" ht="30" customHeight="1" x14ac:dyDescent="0.3">
      <c r="A36" t="s">
        <v>440</v>
      </c>
      <c r="B36" s="1" t="s">
        <v>444</v>
      </c>
      <c r="C36" t="s">
        <v>441</v>
      </c>
      <c r="D36" t="s">
        <v>442</v>
      </c>
      <c r="E36" s="1" t="s">
        <v>443</v>
      </c>
      <c r="F36" t="s">
        <v>524</v>
      </c>
      <c r="G36" t="s">
        <v>445</v>
      </c>
      <c r="H36" t="s">
        <v>446</v>
      </c>
      <c r="I36" t="s">
        <v>399</v>
      </c>
      <c r="J36" s="5" t="s">
        <v>536</v>
      </c>
      <c r="K36" t="s">
        <v>21</v>
      </c>
      <c r="L36" t="s">
        <v>22</v>
      </c>
      <c r="M36">
        <v>1</v>
      </c>
    </row>
    <row r="37" spans="1:18" ht="30" customHeight="1" x14ac:dyDescent="0.3">
      <c r="A37" t="s">
        <v>401</v>
      </c>
      <c r="B37" s="1" t="s">
        <v>405</v>
      </c>
      <c r="C37" t="s">
        <v>402</v>
      </c>
      <c r="D37" t="s">
        <v>403</v>
      </c>
      <c r="E37" s="1" t="s">
        <v>404</v>
      </c>
      <c r="F37" t="s">
        <v>524</v>
      </c>
      <c r="G37" t="s">
        <v>159</v>
      </c>
      <c r="H37" t="s">
        <v>407</v>
      </c>
      <c r="I37" t="s">
        <v>399</v>
      </c>
      <c r="J37" s="5" t="s">
        <v>537</v>
      </c>
      <c r="K37" t="s">
        <v>21</v>
      </c>
      <c r="L37" t="s">
        <v>22</v>
      </c>
      <c r="Q37">
        <v>1</v>
      </c>
    </row>
    <row r="38" spans="1:18" ht="30" customHeight="1" x14ac:dyDescent="0.3">
      <c r="A38" t="s">
        <v>413</v>
      </c>
      <c r="B38" s="1" t="s">
        <v>405</v>
      </c>
      <c r="C38" t="s">
        <v>414</v>
      </c>
      <c r="D38" t="s">
        <v>415</v>
      </c>
      <c r="E38" s="1" t="s">
        <v>416</v>
      </c>
      <c r="F38" t="s">
        <v>524</v>
      </c>
      <c r="G38" t="s">
        <v>159</v>
      </c>
      <c r="H38" t="s">
        <v>417</v>
      </c>
      <c r="I38" t="s">
        <v>399</v>
      </c>
      <c r="J38" s="5" t="s">
        <v>537</v>
      </c>
      <c r="K38" t="s">
        <v>21</v>
      </c>
      <c r="L38" t="s">
        <v>22</v>
      </c>
      <c r="Q38">
        <v>1</v>
      </c>
    </row>
    <row r="39" spans="1:18" ht="30" customHeight="1" x14ac:dyDescent="0.3">
      <c r="A39" t="s">
        <v>418</v>
      </c>
      <c r="B39" s="1" t="s">
        <v>405</v>
      </c>
      <c r="C39" t="s">
        <v>419</v>
      </c>
      <c r="D39" t="s">
        <v>420</v>
      </c>
      <c r="E39" s="1" t="s">
        <v>421</v>
      </c>
      <c r="F39" t="s">
        <v>524</v>
      </c>
      <c r="G39" t="s">
        <v>159</v>
      </c>
      <c r="H39" t="s">
        <v>422</v>
      </c>
      <c r="I39" t="s">
        <v>399</v>
      </c>
      <c r="J39" s="5" t="s">
        <v>537</v>
      </c>
      <c r="K39" t="s">
        <v>21</v>
      </c>
      <c r="L39" t="s">
        <v>22</v>
      </c>
      <c r="Q39">
        <v>1</v>
      </c>
    </row>
    <row r="40" spans="1:18" ht="30" customHeight="1" x14ac:dyDescent="0.3">
      <c r="A40" t="s">
        <v>423</v>
      </c>
      <c r="B40" s="1" t="s">
        <v>405</v>
      </c>
      <c r="C40" t="s">
        <v>424</v>
      </c>
      <c r="D40" t="s">
        <v>425</v>
      </c>
      <c r="E40" t="s">
        <v>426</v>
      </c>
      <c r="F40" t="s">
        <v>524</v>
      </c>
      <c r="G40" t="s">
        <v>159</v>
      </c>
      <c r="H40" t="s">
        <v>427</v>
      </c>
      <c r="I40" t="s">
        <v>399</v>
      </c>
      <c r="J40" s="5" t="s">
        <v>537</v>
      </c>
      <c r="K40" t="s">
        <v>21</v>
      </c>
      <c r="L40" t="s">
        <v>22</v>
      </c>
      <c r="Q40">
        <v>1</v>
      </c>
    </row>
    <row r="41" spans="1:18" ht="30" customHeight="1" x14ac:dyDescent="0.3">
      <c r="A41" t="s">
        <v>428</v>
      </c>
      <c r="B41" s="1" t="s">
        <v>405</v>
      </c>
      <c r="C41" t="s">
        <v>429</v>
      </c>
      <c r="D41" t="s">
        <v>430</v>
      </c>
      <c r="E41" s="1" t="s">
        <v>431</v>
      </c>
      <c r="F41" t="s">
        <v>524</v>
      </c>
      <c r="G41" t="s">
        <v>159</v>
      </c>
      <c r="H41" t="s">
        <v>432</v>
      </c>
      <c r="I41" t="s">
        <v>399</v>
      </c>
      <c r="J41" s="5" t="s">
        <v>537</v>
      </c>
      <c r="K41" t="s">
        <v>21</v>
      </c>
      <c r="L41" t="s">
        <v>22</v>
      </c>
      <c r="Q41">
        <v>1</v>
      </c>
    </row>
    <row r="42" spans="1:18" ht="30" customHeight="1" x14ac:dyDescent="0.3">
      <c r="A42" t="s">
        <v>433</v>
      </c>
      <c r="B42" s="1" t="s">
        <v>437</v>
      </c>
      <c r="C42" s="34" t="s">
        <v>434</v>
      </c>
      <c r="D42" t="s">
        <v>435</v>
      </c>
      <c r="E42" s="1" t="s">
        <v>436</v>
      </c>
      <c r="F42" t="s">
        <v>524</v>
      </c>
      <c r="G42" t="s">
        <v>438</v>
      </c>
      <c r="H42" t="s">
        <v>439</v>
      </c>
      <c r="I42" t="s">
        <v>399</v>
      </c>
      <c r="J42" s="5" t="s">
        <v>537</v>
      </c>
      <c r="K42" t="s">
        <v>21</v>
      </c>
      <c r="L42" t="s">
        <v>22</v>
      </c>
      <c r="M42">
        <v>0</v>
      </c>
      <c r="P42">
        <v>1</v>
      </c>
      <c r="R42" t="s">
        <v>553</v>
      </c>
    </row>
    <row r="43" spans="1:18" ht="30" customHeight="1" x14ac:dyDescent="0.3">
      <c r="A43" t="s">
        <v>380</v>
      </c>
      <c r="B43" s="1" t="s">
        <v>384</v>
      </c>
      <c r="C43" t="s">
        <v>381</v>
      </c>
      <c r="D43" t="s">
        <v>382</v>
      </c>
      <c r="E43" s="1" t="s">
        <v>383</v>
      </c>
      <c r="F43" t="s">
        <v>498</v>
      </c>
      <c r="G43" t="s">
        <v>137</v>
      </c>
      <c r="H43" t="s">
        <v>385</v>
      </c>
      <c r="I43" t="s">
        <v>378</v>
      </c>
      <c r="J43" s="5" t="s">
        <v>552</v>
      </c>
      <c r="K43" t="s">
        <v>21</v>
      </c>
      <c r="L43" t="s">
        <v>22</v>
      </c>
      <c r="M43">
        <v>0</v>
      </c>
      <c r="P43">
        <v>1</v>
      </c>
    </row>
    <row r="44" spans="1:18" ht="30" customHeight="1" x14ac:dyDescent="0.3">
      <c r="A44" t="s">
        <v>408</v>
      </c>
      <c r="B44" s="1" t="s">
        <v>405</v>
      </c>
      <c r="C44" t="s">
        <v>409</v>
      </c>
      <c r="D44" t="s">
        <v>410</v>
      </c>
      <c r="E44" s="1" t="s">
        <v>411</v>
      </c>
      <c r="F44" t="s">
        <v>524</v>
      </c>
      <c r="G44" t="s">
        <v>204</v>
      </c>
      <c r="H44" t="s">
        <v>412</v>
      </c>
      <c r="I44" t="s">
        <v>399</v>
      </c>
      <c r="J44" s="5" t="s">
        <v>552</v>
      </c>
      <c r="K44" t="s">
        <v>21</v>
      </c>
      <c r="L44" t="s">
        <v>22</v>
      </c>
      <c r="Q44">
        <v>1</v>
      </c>
    </row>
    <row r="45" spans="1:18" ht="30" customHeight="1" x14ac:dyDescent="0.3">
      <c r="A45" t="s">
        <v>464</v>
      </c>
      <c r="B45" s="1" t="s">
        <v>468</v>
      </c>
      <c r="C45" s="34" t="s">
        <v>465</v>
      </c>
      <c r="D45" t="s">
        <v>466</v>
      </c>
      <c r="E45" s="1" t="s">
        <v>467</v>
      </c>
      <c r="F45" t="s">
        <v>524</v>
      </c>
      <c r="G45" t="s">
        <v>462</v>
      </c>
      <c r="H45" t="s">
        <v>469</v>
      </c>
      <c r="I45" t="s">
        <v>455</v>
      </c>
      <c r="J45" s="5" t="s">
        <v>552</v>
      </c>
      <c r="K45" t="s">
        <v>21</v>
      </c>
      <c r="L45" t="s">
        <v>22</v>
      </c>
      <c r="Q45">
        <v>1</v>
      </c>
    </row>
    <row r="46" spans="1:18" ht="30" customHeight="1" x14ac:dyDescent="0.3">
      <c r="A46" t="s">
        <v>477</v>
      </c>
      <c r="B46" s="1" t="s">
        <v>481</v>
      </c>
      <c r="C46" s="34" t="s">
        <v>478</v>
      </c>
      <c r="D46" t="s">
        <v>479</v>
      </c>
      <c r="E46" s="1" t="s">
        <v>480</v>
      </c>
      <c r="F46" t="s">
        <v>524</v>
      </c>
      <c r="G46" t="s">
        <v>438</v>
      </c>
      <c r="H46" t="s">
        <v>482</v>
      </c>
      <c r="I46" t="s">
        <v>455</v>
      </c>
      <c r="J46" s="5" t="s">
        <v>552</v>
      </c>
      <c r="K46" t="s">
        <v>21</v>
      </c>
      <c r="L46" t="s">
        <v>22</v>
      </c>
      <c r="Q46">
        <v>1</v>
      </c>
    </row>
    <row r="47" spans="1:18" ht="30" customHeight="1" x14ac:dyDescent="0.3">
      <c r="A47" t="s">
        <v>470</v>
      </c>
      <c r="B47" s="1" t="s">
        <v>474</v>
      </c>
      <c r="C47" s="34" t="s">
        <v>471</v>
      </c>
      <c r="D47" t="s">
        <v>472</v>
      </c>
      <c r="E47" s="1" t="s">
        <v>473</v>
      </c>
      <c r="F47" t="s">
        <v>524</v>
      </c>
      <c r="G47" t="s">
        <v>475</v>
      </c>
      <c r="H47" t="s">
        <v>476</v>
      </c>
      <c r="I47" t="s">
        <v>455</v>
      </c>
      <c r="J47" s="5" t="s">
        <v>548</v>
      </c>
      <c r="K47" t="s">
        <v>21</v>
      </c>
      <c r="L47" t="s">
        <v>22</v>
      </c>
      <c r="M47">
        <v>1</v>
      </c>
      <c r="O47">
        <v>1</v>
      </c>
    </row>
    <row r="48" spans="1:18" ht="30" customHeight="1" x14ac:dyDescent="0.3">
      <c r="A48" t="s">
        <v>483</v>
      </c>
      <c r="B48" s="1" t="s">
        <v>461</v>
      </c>
      <c r="C48" s="34" t="s">
        <v>484</v>
      </c>
      <c r="D48" t="s">
        <v>485</v>
      </c>
      <c r="E48" s="1" t="s">
        <v>486</v>
      </c>
      <c r="F48" t="s">
        <v>524</v>
      </c>
      <c r="G48" t="s">
        <v>462</v>
      </c>
      <c r="H48" t="s">
        <v>487</v>
      </c>
      <c r="I48" t="s">
        <v>488</v>
      </c>
      <c r="J48" s="5" t="s">
        <v>549</v>
      </c>
      <c r="K48" t="s">
        <v>21</v>
      </c>
      <c r="L48" t="s">
        <v>22</v>
      </c>
      <c r="M48">
        <v>0</v>
      </c>
      <c r="N48">
        <v>0</v>
      </c>
      <c r="O48">
        <v>0</v>
      </c>
      <c r="P48">
        <v>1</v>
      </c>
    </row>
    <row r="49" spans="1:17" ht="30" customHeight="1" x14ac:dyDescent="0.3">
      <c r="A49" t="s">
        <v>490</v>
      </c>
      <c r="B49" s="1" t="s">
        <v>494</v>
      </c>
      <c r="C49" s="34" t="s">
        <v>491</v>
      </c>
      <c r="D49" t="s">
        <v>492</v>
      </c>
      <c r="E49" s="1" t="s">
        <v>493</v>
      </c>
      <c r="F49" t="s">
        <v>524</v>
      </c>
      <c r="G49" t="s">
        <v>495</v>
      </c>
      <c r="H49" t="s">
        <v>496</v>
      </c>
      <c r="I49" t="s">
        <v>488</v>
      </c>
      <c r="J49" s="5" t="s">
        <v>549</v>
      </c>
      <c r="K49" t="s">
        <v>21</v>
      </c>
      <c r="L49" t="s">
        <v>22</v>
      </c>
      <c r="M49">
        <v>0</v>
      </c>
      <c r="N49">
        <v>0</v>
      </c>
      <c r="O49">
        <v>0</v>
      </c>
    </row>
    <row r="50" spans="1:17" ht="30" customHeight="1" x14ac:dyDescent="0.3">
      <c r="A50" t="s">
        <v>457</v>
      </c>
      <c r="B50" s="1" t="s">
        <v>461</v>
      </c>
      <c r="C50" s="34" t="s">
        <v>458</v>
      </c>
      <c r="D50" t="s">
        <v>459</v>
      </c>
      <c r="E50" s="1" t="s">
        <v>460</v>
      </c>
      <c r="F50" t="s">
        <v>524</v>
      </c>
      <c r="G50" t="s">
        <v>462</v>
      </c>
      <c r="H50" t="s">
        <v>463</v>
      </c>
      <c r="I50" t="s">
        <v>455</v>
      </c>
      <c r="J50" s="5" t="s">
        <v>547</v>
      </c>
      <c r="K50" t="s">
        <v>21</v>
      </c>
      <c r="L50" t="s">
        <v>22</v>
      </c>
      <c r="M50">
        <v>1</v>
      </c>
    </row>
    <row r="51" spans="1:17" ht="30" customHeight="1" x14ac:dyDescent="0.3">
      <c r="C51">
        <f>COUNTA(C2:C50)</f>
        <v>49</v>
      </c>
      <c r="M51">
        <f>SUM(M13:M50)</f>
        <v>18</v>
      </c>
      <c r="N51">
        <f t="shared" ref="N51:Q51" si="0">SUM(N13:N50)</f>
        <v>5</v>
      </c>
      <c r="O51">
        <f t="shared" si="0"/>
        <v>2</v>
      </c>
      <c r="P51">
        <f t="shared" si="0"/>
        <v>7</v>
      </c>
      <c r="Q51">
        <f t="shared" si="0"/>
        <v>13</v>
      </c>
    </row>
    <row r="54" spans="1:17" ht="30" customHeight="1" x14ac:dyDescent="0.3">
      <c r="B54" s="1" t="s">
        <v>559</v>
      </c>
      <c r="C54" s="35">
        <v>58</v>
      </c>
    </row>
    <row r="55" spans="1:17" ht="30" customHeight="1" x14ac:dyDescent="0.3">
      <c r="B55" s="1" t="s">
        <v>562</v>
      </c>
      <c r="C55" s="35">
        <v>38</v>
      </c>
    </row>
    <row r="56" spans="1:17" ht="30" customHeight="1" x14ac:dyDescent="0.3">
      <c r="B56" s="1" t="s">
        <v>558</v>
      </c>
      <c r="C56" s="35">
        <v>35</v>
      </c>
    </row>
    <row r="57" spans="1:17" ht="30" customHeight="1" x14ac:dyDescent="0.3">
      <c r="B57" s="1" t="s">
        <v>560</v>
      </c>
      <c r="C57" s="35">
        <v>12</v>
      </c>
    </row>
    <row r="58" spans="1:17" ht="30" customHeight="1" x14ac:dyDescent="0.3">
      <c r="B58" s="1" t="s">
        <v>561</v>
      </c>
      <c r="C58" s="35">
        <v>5</v>
      </c>
    </row>
    <row r="60" spans="1:17" ht="30" customHeight="1" x14ac:dyDescent="0.3">
      <c r="C60" s="3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02579-4133-42FA-9B67-FB3845998BDC}">
  <dimension ref="A1:O18"/>
  <sheetViews>
    <sheetView workbookViewId="0">
      <selection activeCell="J14" sqref="J14"/>
    </sheetView>
  </sheetViews>
  <sheetFormatPr defaultRowHeight="14.4" outlineLevelCol="1" x14ac:dyDescent="0.3"/>
  <cols>
    <col min="1" max="1" width="57" style="1" customWidth="1"/>
    <col min="2" max="2" width="11.6640625" customWidth="1" outlineLevel="1"/>
    <col min="3" max="3" width="5.6640625" customWidth="1" outlineLevel="1"/>
    <col min="4" max="4" width="7" customWidth="1" outlineLevel="1"/>
    <col min="5" max="5" width="7.88671875" customWidth="1" outlineLevel="1"/>
    <col min="6" max="6" width="6" customWidth="1" outlineLevel="1"/>
    <col min="7" max="7" width="5.6640625" customWidth="1" outlineLevel="1"/>
    <col min="8" max="8" width="9.6640625" customWidth="1" outlineLevel="1"/>
    <col min="9" max="9" width="8.33203125" customWidth="1" outlineLevel="1"/>
    <col min="10" max="10" width="5.33203125" customWidth="1" outlineLevel="1"/>
    <col min="11" max="11" width="4.5546875" customWidth="1" outlineLevel="1"/>
    <col min="12" max="12" width="7.5546875" customWidth="1" outlineLevel="1"/>
    <col min="13" max="13" width="7.88671875" customWidth="1" outlineLevel="1"/>
    <col min="14" max="14" width="10.6640625" bestFit="1" customWidth="1"/>
    <col min="15" max="15" width="7.109375" customWidth="1"/>
  </cols>
  <sheetData>
    <row r="1" spans="1:15" ht="15.6" x14ac:dyDescent="0.3">
      <c r="A1" s="24" t="s">
        <v>539</v>
      </c>
    </row>
    <row r="3" spans="1:15" x14ac:dyDescent="0.3">
      <c r="A3" s="12" t="s">
        <v>525</v>
      </c>
      <c r="B3" s="11" t="s">
        <v>526</v>
      </c>
      <c r="C3" s="10"/>
      <c r="D3" s="10"/>
      <c r="E3" s="10"/>
      <c r="F3" s="10"/>
      <c r="G3" s="10"/>
      <c r="H3" s="10"/>
      <c r="I3" s="10"/>
      <c r="J3" s="10"/>
      <c r="K3" s="10"/>
      <c r="L3" s="10"/>
      <c r="M3" s="10"/>
      <c r="N3" s="10"/>
    </row>
    <row r="4" spans="1:15" x14ac:dyDescent="0.3">
      <c r="A4" s="13" t="s">
        <v>522</v>
      </c>
      <c r="B4" s="10" t="s">
        <v>508</v>
      </c>
      <c r="C4" s="10" t="s">
        <v>503</v>
      </c>
      <c r="D4" s="10" t="s">
        <v>501</v>
      </c>
      <c r="E4" s="10" t="s">
        <v>519</v>
      </c>
      <c r="F4" s="10" t="s">
        <v>512</v>
      </c>
      <c r="G4" s="10" t="s">
        <v>505</v>
      </c>
      <c r="H4" s="10" t="s">
        <v>506</v>
      </c>
      <c r="I4" s="10" t="s">
        <v>510</v>
      </c>
      <c r="J4" s="10" t="s">
        <v>498</v>
      </c>
      <c r="K4" s="10" t="s">
        <v>504</v>
      </c>
      <c r="L4" s="29" t="s">
        <v>500</v>
      </c>
      <c r="M4" s="15" t="s">
        <v>524</v>
      </c>
      <c r="N4" s="10" t="s">
        <v>523</v>
      </c>
      <c r="O4" s="16"/>
    </row>
    <row r="5" spans="1:15" s="28" customFormat="1" ht="28.8" x14ac:dyDescent="0.3">
      <c r="A5" s="25" t="s">
        <v>527</v>
      </c>
      <c r="B5" s="26"/>
      <c r="C5" s="26">
        <v>1</v>
      </c>
      <c r="D5" s="26"/>
      <c r="E5" s="26">
        <v>1</v>
      </c>
      <c r="F5" s="26"/>
      <c r="G5" s="26">
        <v>3</v>
      </c>
      <c r="H5" s="26"/>
      <c r="I5" s="26"/>
      <c r="J5" s="26">
        <v>2</v>
      </c>
      <c r="K5" s="26"/>
      <c r="L5" s="22">
        <v>3</v>
      </c>
      <c r="M5" s="26"/>
      <c r="N5" s="26">
        <v>10</v>
      </c>
      <c r="O5" s="27">
        <f>GETPIVOTDATA("JHB_NHLS_38_Boston",$A$3,"a. Data currently unavailable/start data acquisition when data becomes available","a. Data currently unavailable/start data acquisition when data becomes available")/GETPIVOTDATA("JHB_NHLS_38_Boston",$A$3)</f>
        <v>0.20408163265306123</v>
      </c>
    </row>
    <row r="6" spans="1:15" x14ac:dyDescent="0.3">
      <c r="A6" s="14" t="s">
        <v>528</v>
      </c>
      <c r="B6" s="9"/>
      <c r="C6" s="9"/>
      <c r="D6" s="9"/>
      <c r="E6" s="9"/>
      <c r="F6" s="9"/>
      <c r="G6" s="9"/>
      <c r="H6" s="9"/>
      <c r="I6" s="9"/>
      <c r="J6" s="9"/>
      <c r="K6" s="9"/>
      <c r="L6" s="21">
        <v>1</v>
      </c>
      <c r="M6" s="9"/>
      <c r="N6" s="9">
        <v>1</v>
      </c>
      <c r="O6" s="17">
        <f>GETPIVOTDATA("JHB_NHLS_38_Boston",$A$3,"a. Data currently unavailable/start data acquisition when data becomes available","b.Identified in review/Application or initial request needs to be sent")/GETPIVOTDATA("JHB_NHLS_38_Boston",$A$3)</f>
        <v>2.0408163265306121E-2</v>
      </c>
    </row>
    <row r="7" spans="1:15" x14ac:dyDescent="0.3">
      <c r="A7" s="14" t="s">
        <v>529</v>
      </c>
      <c r="B7" s="9"/>
      <c r="C7" s="9"/>
      <c r="D7" s="9"/>
      <c r="E7" s="9"/>
      <c r="F7" s="9"/>
      <c r="G7" s="9"/>
      <c r="H7" s="9"/>
      <c r="I7" s="9"/>
      <c r="J7" s="20">
        <v>1</v>
      </c>
      <c r="K7" s="9"/>
      <c r="L7" s="21"/>
      <c r="M7" s="9"/>
      <c r="N7" s="9">
        <v>1</v>
      </c>
      <c r="O7" s="17">
        <f>GETPIVOTDATA("JHB_NHLS_38_Boston",$A$3,"a. Data currently unavailable/start data acquisition when data becomes available","c.1st Follow up needs to be actioned")/GETPIVOTDATA("JHB_NHLS_38_Boston",$A$3)</f>
        <v>2.0408163265306121E-2</v>
      </c>
    </row>
    <row r="8" spans="1:15" ht="28.8" x14ac:dyDescent="0.3">
      <c r="A8" s="14" t="s">
        <v>530</v>
      </c>
      <c r="B8" s="23">
        <v>2</v>
      </c>
      <c r="C8" s="9">
        <v>1</v>
      </c>
      <c r="D8" s="9"/>
      <c r="E8" s="9"/>
      <c r="F8" s="9"/>
      <c r="G8" s="9"/>
      <c r="H8" s="9"/>
      <c r="I8" s="9">
        <v>1</v>
      </c>
      <c r="J8" s="20"/>
      <c r="K8" s="23">
        <v>1</v>
      </c>
      <c r="L8" s="21">
        <v>1</v>
      </c>
      <c r="M8" s="9"/>
      <c r="N8" s="9">
        <v>6</v>
      </c>
      <c r="O8" s="17">
        <f>GETPIVOTDATA("JHB_NHLS_38_Boston",$A$3,"a. Data currently unavailable/start data acquisition when data becomes available","d.Expressed interest in participating/Next steps email or address queries on application")/GETPIVOTDATA("JHB_NHLS_38_Boston",$A$3)</f>
        <v>0.12244897959183673</v>
      </c>
    </row>
    <row r="9" spans="1:15" x14ac:dyDescent="0.3">
      <c r="A9" s="14" t="s">
        <v>531</v>
      </c>
      <c r="B9" s="9"/>
      <c r="C9" s="9"/>
      <c r="D9" s="9"/>
      <c r="E9" s="9"/>
      <c r="F9" s="9">
        <v>1</v>
      </c>
      <c r="G9" s="9"/>
      <c r="H9" s="20">
        <v>4</v>
      </c>
      <c r="I9" s="9"/>
      <c r="J9" s="20"/>
      <c r="K9" s="9"/>
      <c r="L9" s="21">
        <v>2</v>
      </c>
      <c r="M9" s="9"/>
      <c r="N9" s="9">
        <v>7</v>
      </c>
      <c r="O9" s="17">
        <f>GETPIVOTDATA("JHB_NHLS_38_Boston",$A$3,"a. Data currently unavailable/start data acquisition when data becomes available","e.Next steps or application sent/now to follow up")/GETPIVOTDATA("JHB_NHLS_38_Boston",$A$3)</f>
        <v>0.14285714285714285</v>
      </c>
    </row>
    <row r="10" spans="1:15" x14ac:dyDescent="0.3">
      <c r="A10" s="14" t="s">
        <v>532</v>
      </c>
      <c r="B10" s="9"/>
      <c r="C10" s="9"/>
      <c r="D10" s="9"/>
      <c r="E10" s="9"/>
      <c r="F10" s="9"/>
      <c r="G10" s="9"/>
      <c r="H10" s="20"/>
      <c r="I10" s="9"/>
      <c r="J10" s="20"/>
      <c r="K10" s="9"/>
      <c r="L10" s="21">
        <v>2</v>
      </c>
      <c r="M10" s="9"/>
      <c r="N10" s="9">
        <v>2</v>
      </c>
      <c r="O10" s="17">
        <f>GETPIVOTDATA("JHB_NHLS_38_Boston",$A$3,"a. Data currently unavailable/start data acquisition when data becomes available","f.confirmed eligibility/start DTA Process")/GETPIVOTDATA("JHB_NHLS_38_Boston",$A$3)</f>
        <v>4.0816326530612242E-2</v>
      </c>
    </row>
    <row r="11" spans="1:15" x14ac:dyDescent="0.3">
      <c r="A11" s="14" t="s">
        <v>533</v>
      </c>
      <c r="B11" s="9"/>
      <c r="C11" s="9"/>
      <c r="D11" s="9">
        <v>1</v>
      </c>
      <c r="E11" s="9"/>
      <c r="F11" s="9"/>
      <c r="G11" s="9"/>
      <c r="H11" s="20"/>
      <c r="I11" s="9"/>
      <c r="J11" s="20"/>
      <c r="K11" s="9"/>
      <c r="L11" s="21">
        <v>1</v>
      </c>
      <c r="M11" s="9"/>
      <c r="N11" s="9">
        <v>2</v>
      </c>
      <c r="O11" s="17">
        <f>GETPIVOTDATA("JHB_NHLS_38_Boston",$A$3,"a. Data currently unavailable/start data acquisition when data becomes available","g.Entering into DTA/follow up with data provider")/GETPIVOTDATA("JHB_NHLS_38_Boston",$A$3)</f>
        <v>4.0816326530612242E-2</v>
      </c>
    </row>
    <row r="12" spans="1:15" x14ac:dyDescent="0.3">
      <c r="A12" s="14" t="s">
        <v>537</v>
      </c>
      <c r="B12" s="9"/>
      <c r="C12" s="9"/>
      <c r="D12" s="9"/>
      <c r="E12" s="9"/>
      <c r="F12" s="9"/>
      <c r="G12" s="9"/>
      <c r="H12" s="20"/>
      <c r="I12" s="9"/>
      <c r="J12" s="20"/>
      <c r="K12" s="9"/>
      <c r="L12" s="9"/>
      <c r="M12" s="18">
        <v>5</v>
      </c>
      <c r="N12" s="18">
        <v>5</v>
      </c>
      <c r="O12" s="17">
        <f>GETPIVOTDATA("JHB_NHLS_38_Boston",$A$3,"a. Data currently unavailable/start data acquisition when data becomes available","h.Harmonization ready for mapping")/GETPIVOTDATA("JHB_NHLS_38_Boston",$A$3)</f>
        <v>0.10204081632653061</v>
      </c>
    </row>
    <row r="13" spans="1:15" x14ac:dyDescent="0.3">
      <c r="A13" s="14" t="s">
        <v>534</v>
      </c>
      <c r="B13" s="9"/>
      <c r="C13" s="9"/>
      <c r="D13" s="9"/>
      <c r="E13" s="9"/>
      <c r="F13" s="9"/>
      <c r="G13" s="9"/>
      <c r="H13" s="20">
        <v>1</v>
      </c>
      <c r="I13" s="9"/>
      <c r="J13" s="20"/>
      <c r="K13" s="9"/>
      <c r="L13" s="9"/>
      <c r="M13" s="18"/>
      <c r="N13" s="18">
        <v>1</v>
      </c>
      <c r="O13" s="17">
        <f>GETPIVOTDATA("JHB_NHLS_38_Boston",$A$3,"a. Data currently unavailable/start data acquisition when data becomes available","h.Waiver of consent in place/ send documentation to Wits HREC")/GETPIVOTDATA("JHB_NHLS_38_Boston",$A$3)</f>
        <v>2.0408163265306121E-2</v>
      </c>
    </row>
    <row r="14" spans="1:15" x14ac:dyDescent="0.3">
      <c r="A14" s="14" t="s">
        <v>535</v>
      </c>
      <c r="B14" s="9"/>
      <c r="C14" s="9"/>
      <c r="D14" s="9"/>
      <c r="E14" s="9"/>
      <c r="F14" s="9"/>
      <c r="G14" s="9"/>
      <c r="H14" s="9"/>
      <c r="I14" s="9"/>
      <c r="J14" s="30">
        <v>3</v>
      </c>
      <c r="K14" s="9"/>
      <c r="L14" s="9"/>
      <c r="M14" s="18"/>
      <c r="N14" s="18">
        <v>3</v>
      </c>
      <c r="O14" s="17">
        <f>GETPIVOTDATA("JHB_NHLS_38_Boston",$A$3,"a. Data currently unavailable/start data acquisition when data becomes available","i.Batch to send to Ethics for notifications")/GETPIVOTDATA("JHB_NHLS_38_Boston",$A$3)</f>
        <v>6.1224489795918366E-2</v>
      </c>
    </row>
    <row r="15" spans="1:15" x14ac:dyDescent="0.3">
      <c r="A15" s="14" t="s">
        <v>538</v>
      </c>
      <c r="B15" s="9"/>
      <c r="C15" s="9"/>
      <c r="D15" s="9"/>
      <c r="E15" s="9"/>
      <c r="F15" s="9"/>
      <c r="G15" s="9"/>
      <c r="H15" s="9"/>
      <c r="I15" s="9"/>
      <c r="J15" s="9"/>
      <c r="K15" s="9"/>
      <c r="L15" s="9"/>
      <c r="M15" s="18">
        <v>2</v>
      </c>
      <c r="N15" s="18">
        <v>2</v>
      </c>
      <c r="O15" s="17">
        <f>GETPIVOTDATA("JHB_NHLS_38_Boston",$A$3,"a. Data currently unavailable/start data acquisition when data becomes available","i.Harmonization mapping in progress")/GETPIVOTDATA("JHB_NHLS_38_Boston",$A$3)</f>
        <v>4.0816326530612242E-2</v>
      </c>
    </row>
    <row r="16" spans="1:15" x14ac:dyDescent="0.3">
      <c r="A16" s="14" t="s">
        <v>536</v>
      </c>
      <c r="B16" s="9"/>
      <c r="C16" s="9"/>
      <c r="D16" s="9"/>
      <c r="E16" s="9"/>
      <c r="F16" s="9"/>
      <c r="G16" s="9"/>
      <c r="H16" s="9"/>
      <c r="I16" s="9"/>
      <c r="J16" s="9"/>
      <c r="K16" s="9"/>
      <c r="L16" s="9"/>
      <c r="M16" s="18">
        <v>9</v>
      </c>
      <c r="N16" s="18">
        <v>9</v>
      </c>
      <c r="O16" s="17">
        <f>GETPIVOTDATA("JHB_NHLS_38_Boston",$A$3,"a. Data currently unavailable/start data acquisition when data becomes available","j.Data transfered to UCT")/GETPIVOTDATA("JHB_NHLS_38_Boston",$A$3)</f>
        <v>0.18367346938775511</v>
      </c>
    </row>
    <row r="17" spans="1:15" x14ac:dyDescent="0.3">
      <c r="A17" s="14" t="s">
        <v>523</v>
      </c>
      <c r="B17" s="9">
        <v>2</v>
      </c>
      <c r="C17" s="9">
        <v>2</v>
      </c>
      <c r="D17" s="9">
        <v>1</v>
      </c>
      <c r="E17" s="9">
        <v>1</v>
      </c>
      <c r="F17" s="9">
        <v>1</v>
      </c>
      <c r="G17" s="9">
        <v>3</v>
      </c>
      <c r="H17" s="9">
        <v>5</v>
      </c>
      <c r="I17" s="9">
        <v>1</v>
      </c>
      <c r="J17" s="9">
        <v>6</v>
      </c>
      <c r="K17" s="9">
        <v>1</v>
      </c>
      <c r="L17" s="21">
        <v>10</v>
      </c>
      <c r="M17" s="18">
        <v>16</v>
      </c>
      <c r="N17" s="9">
        <v>49</v>
      </c>
      <c r="O17" s="16"/>
    </row>
    <row r="18" spans="1:15" x14ac:dyDescent="0.3">
      <c r="B18" s="16">
        <f>GETPIVOTDATA("JHB_NHLS_38_Boston",$A$3,"NHLS","boehringer-ingelheim")/GETPIVOTDATA("JHB_NHLS_38_Boston",$A$3)</f>
        <v>4.0816326530612242E-2</v>
      </c>
      <c r="C18" s="16">
        <f>GETPIVOTDATA("JHB_NHLS_38_Boston",$A$3,"NHLS","CHRU")/GETPIVOTDATA("JHB_NHLS_38_Boston",$A$3)</f>
        <v>4.0816326530612242E-2</v>
      </c>
      <c r="D18" s="16">
        <f>GETPIVOTDATA("JHB_NHLS_38_Boston",$A$3,"NHLS","DPHRU")/GETPIVOTDATA("JHB_NHLS_38_Boston",$A$3)</f>
        <v>2.0408163265306121E-2</v>
      </c>
      <c r="E18" s="16">
        <f>GETPIVOTDATA("JHB_NHLS_38_Boston",$A$3,"NHLS","Ezintsha")/GETPIVOTDATA("JHB_NHLS_38_Boston",$A$3)</f>
        <v>2.0408163265306121E-2</v>
      </c>
      <c r="F18" s="16">
        <f>GETPIVOTDATA("JHB_NHLS_38_Boston",$A$3,"NHLS","IeDEA")/GETPIVOTDATA("JHB_NHLS_38_Boston",$A$3)</f>
        <v>2.0408163265306121E-2</v>
      </c>
      <c r="G18" s="16">
        <f>GETPIVOTDATA("JHB_NHLS_38_Boston",$A$3,"NHLS","PHRU")/GETPIVOTDATA("JHB_NHLS_38_Boston",$A$3)</f>
        <v>6.1224489795918366E-2</v>
      </c>
      <c r="H18" s="16">
        <f>GETPIVOTDATA("JHB_NHLS_38_Boston",$A$3,"NHLS","SCHARP_HVTN")/GETPIVOTDATA("JHB_NHLS_38_Boston",$A$3)</f>
        <v>0.10204081632653061</v>
      </c>
      <c r="I18" s="16">
        <f>GETPIVOTDATA("JHB_NHLS_38_Boston",$A$3,"NHLS","Shionogi")/GETPIVOTDATA("JHB_NHLS_38_Boston",$A$3)</f>
        <v>2.0408163265306121E-2</v>
      </c>
      <c r="J18" s="16">
        <f>GETPIVOTDATA("JHB_NHLS_38_Boston",$A$3,"NHLS","VIDA")/GETPIVOTDATA("JHB_NHLS_38_Boston",$A$3)</f>
        <v>0.12244897959183673</v>
      </c>
      <c r="K18" s="16">
        <f>GETPIVOTDATA("JHB_NHLS_38_Boston",$A$3,"NHLS","Vivli")/GETPIVOTDATA("JHB_NHLS_38_Boston",$A$3)</f>
        <v>2.0408163265306121E-2</v>
      </c>
      <c r="L18" s="19">
        <f>GETPIVOTDATA("JHB_NHLS_38_Boston",$A$3,"NHLS","WitsRHI")/GETPIVOTDATA("JHB_NHLS_38_Boston",$A$3)</f>
        <v>0.20408163265306123</v>
      </c>
      <c r="M18" s="16">
        <f>GETPIVOTDATA("JHB_NHLS_38_Boston",$A$3,"NHLS","UCT TRF")/GETPIVOTDATA("JHB_NHLS_38_Boston",$A$3)</f>
        <v>0.32653061224489793</v>
      </c>
      <c r="N18" s="1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B2E77-C6B5-4627-B4A0-E88F1E746082}">
  <dimension ref="A1:L75"/>
  <sheetViews>
    <sheetView topLeftCell="B1" workbookViewId="0">
      <selection activeCell="G9" sqref="G9"/>
    </sheetView>
  </sheetViews>
  <sheetFormatPr defaultRowHeight="14.4" x14ac:dyDescent="0.3"/>
  <cols>
    <col min="2" max="2" width="40" customWidth="1"/>
    <col min="3" max="3" width="0" hidden="1" customWidth="1"/>
    <col min="4" max="4" width="32.44140625" customWidth="1"/>
    <col min="5" max="5" width="38.5546875" customWidth="1"/>
    <col min="7" max="7" width="10.44140625" customWidth="1"/>
    <col min="8" max="9" width="24" hidden="1" customWidth="1"/>
    <col min="10" max="10" width="24" customWidth="1"/>
    <col min="11" max="12" width="24" hidden="1" customWidth="1"/>
    <col min="13" max="13" width="24"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t="s">
        <v>13</v>
      </c>
      <c r="C2" t="s">
        <v>14</v>
      </c>
      <c r="D2" t="s">
        <v>15</v>
      </c>
      <c r="E2" t="s">
        <v>16</v>
      </c>
      <c r="G2" t="s">
        <v>17</v>
      </c>
      <c r="H2" t="s">
        <v>18</v>
      </c>
      <c r="I2" t="s">
        <v>19</v>
      </c>
      <c r="J2" t="s">
        <v>20</v>
      </c>
      <c r="K2" t="s">
        <v>21</v>
      </c>
      <c r="L2" t="s">
        <v>22</v>
      </c>
    </row>
    <row r="3" spans="1:12" ht="409.6" x14ac:dyDescent="0.3">
      <c r="A3" t="s">
        <v>23</v>
      </c>
      <c r="B3" t="s">
        <v>24</v>
      </c>
      <c r="C3" t="s">
        <v>25</v>
      </c>
      <c r="D3" s="1" t="s">
        <v>26</v>
      </c>
      <c r="E3" t="s">
        <v>27</v>
      </c>
      <c r="G3" t="s">
        <v>28</v>
      </c>
      <c r="H3" t="s">
        <v>29</v>
      </c>
      <c r="I3" t="s">
        <v>19</v>
      </c>
      <c r="J3" t="s">
        <v>20</v>
      </c>
      <c r="K3" t="s">
        <v>21</v>
      </c>
      <c r="L3" t="s">
        <v>22</v>
      </c>
    </row>
    <row r="4" spans="1:12" x14ac:dyDescent="0.3">
      <c r="A4" t="s">
        <v>30</v>
      </c>
      <c r="B4" t="s">
        <v>31</v>
      </c>
      <c r="C4" t="s">
        <v>32</v>
      </c>
      <c r="D4" t="s">
        <v>33</v>
      </c>
      <c r="E4" t="s">
        <v>34</v>
      </c>
      <c r="G4" t="s">
        <v>35</v>
      </c>
      <c r="H4" t="s">
        <v>36</v>
      </c>
      <c r="I4" t="s">
        <v>19</v>
      </c>
      <c r="J4" t="s">
        <v>20</v>
      </c>
      <c r="K4" t="s">
        <v>21</v>
      </c>
      <c r="L4" t="s">
        <v>22</v>
      </c>
    </row>
    <row r="5" spans="1:12" ht="100.8" x14ac:dyDescent="0.3">
      <c r="A5" t="s">
        <v>37</v>
      </c>
      <c r="B5" t="s">
        <v>38</v>
      </c>
      <c r="C5" t="s">
        <v>39</v>
      </c>
      <c r="D5" s="1" t="s">
        <v>40</v>
      </c>
      <c r="E5" t="s">
        <v>41</v>
      </c>
      <c r="G5" t="s">
        <v>35</v>
      </c>
      <c r="H5" t="s">
        <v>42</v>
      </c>
      <c r="I5" t="s">
        <v>19</v>
      </c>
      <c r="J5" t="s">
        <v>20</v>
      </c>
      <c r="K5" t="s">
        <v>21</v>
      </c>
      <c r="L5" t="s">
        <v>22</v>
      </c>
    </row>
    <row r="6" spans="1:12" ht="409.6" x14ac:dyDescent="0.3">
      <c r="A6" t="s">
        <v>43</v>
      </c>
      <c r="B6" t="s">
        <v>44</v>
      </c>
      <c r="C6" t="s">
        <v>45</v>
      </c>
      <c r="D6" s="1" t="s">
        <v>46</v>
      </c>
      <c r="E6" t="s">
        <v>47</v>
      </c>
      <c r="G6" t="s">
        <v>35</v>
      </c>
      <c r="H6" t="s">
        <v>48</v>
      </c>
      <c r="I6" t="s">
        <v>19</v>
      </c>
      <c r="J6" t="s">
        <v>20</v>
      </c>
      <c r="K6" t="s">
        <v>21</v>
      </c>
      <c r="L6" t="s">
        <v>22</v>
      </c>
    </row>
    <row r="7" spans="1:12" ht="316.8" x14ac:dyDescent="0.3">
      <c r="A7" t="s">
        <v>49</v>
      </c>
      <c r="B7" t="s">
        <v>50</v>
      </c>
      <c r="C7" t="s">
        <v>51</v>
      </c>
      <c r="D7" s="1" t="s">
        <v>52</v>
      </c>
      <c r="E7" t="s">
        <v>53</v>
      </c>
      <c r="G7" t="s">
        <v>54</v>
      </c>
      <c r="H7" t="s">
        <v>55</v>
      </c>
      <c r="I7" t="s">
        <v>19</v>
      </c>
      <c r="J7" t="s">
        <v>20</v>
      </c>
      <c r="K7" t="s">
        <v>21</v>
      </c>
      <c r="L7" t="s">
        <v>22</v>
      </c>
    </row>
    <row r="8" spans="1:12" ht="273.60000000000002" x14ac:dyDescent="0.3">
      <c r="A8" t="s">
        <v>56</v>
      </c>
      <c r="B8" t="s">
        <v>57</v>
      </c>
      <c r="C8" t="s">
        <v>58</v>
      </c>
      <c r="D8" s="1" t="s">
        <v>59</v>
      </c>
      <c r="E8" t="s">
        <v>60</v>
      </c>
      <c r="G8" t="s">
        <v>61</v>
      </c>
      <c r="H8" t="s">
        <v>62</v>
      </c>
      <c r="I8" t="s">
        <v>19</v>
      </c>
      <c r="J8" t="s">
        <v>20</v>
      </c>
      <c r="K8" t="s">
        <v>21</v>
      </c>
      <c r="L8" t="s">
        <v>22</v>
      </c>
    </row>
    <row r="9" spans="1:12" ht="409.6" x14ac:dyDescent="0.3">
      <c r="A9" t="s">
        <v>63</v>
      </c>
      <c r="B9" t="s">
        <v>64</v>
      </c>
      <c r="C9" t="s">
        <v>65</v>
      </c>
      <c r="D9" s="1" t="s">
        <v>66</v>
      </c>
      <c r="E9" t="s">
        <v>67</v>
      </c>
      <c r="H9" t="s">
        <v>68</v>
      </c>
      <c r="I9" t="s">
        <v>19</v>
      </c>
      <c r="J9" t="s">
        <v>20</v>
      </c>
      <c r="K9" t="s">
        <v>21</v>
      </c>
      <c r="L9" t="s">
        <v>22</v>
      </c>
    </row>
    <row r="10" spans="1:12" ht="409.6" x14ac:dyDescent="0.3">
      <c r="A10" t="s">
        <v>69</v>
      </c>
      <c r="B10" t="s">
        <v>70</v>
      </c>
      <c r="C10" t="s">
        <v>71</v>
      </c>
      <c r="D10" s="1" t="s">
        <v>72</v>
      </c>
      <c r="E10" t="s">
        <v>73</v>
      </c>
      <c r="G10" t="s">
        <v>74</v>
      </c>
      <c r="H10" t="s">
        <v>75</v>
      </c>
      <c r="I10" t="s">
        <v>19</v>
      </c>
      <c r="J10" t="s">
        <v>20</v>
      </c>
      <c r="K10" t="s">
        <v>21</v>
      </c>
      <c r="L10" t="s">
        <v>22</v>
      </c>
    </row>
    <row r="11" spans="1:12" ht="409.6" x14ac:dyDescent="0.3">
      <c r="A11" t="s">
        <v>76</v>
      </c>
      <c r="B11" t="s">
        <v>77</v>
      </c>
      <c r="C11" t="s">
        <v>78</v>
      </c>
      <c r="D11" s="1" t="s">
        <v>79</v>
      </c>
      <c r="E11" t="s">
        <v>80</v>
      </c>
      <c r="G11" t="s">
        <v>81</v>
      </c>
      <c r="H11" t="s">
        <v>82</v>
      </c>
      <c r="I11" t="s">
        <v>19</v>
      </c>
      <c r="J11" t="s">
        <v>20</v>
      </c>
      <c r="K11" t="s">
        <v>21</v>
      </c>
      <c r="L11" t="s">
        <v>22</v>
      </c>
    </row>
    <row r="12" spans="1:12" ht="409.6" x14ac:dyDescent="0.3">
      <c r="A12" t="s">
        <v>83</v>
      </c>
      <c r="B12" t="s">
        <v>84</v>
      </c>
      <c r="C12" t="s">
        <v>85</v>
      </c>
      <c r="D12" s="1" t="s">
        <v>86</v>
      </c>
      <c r="E12" t="s">
        <v>87</v>
      </c>
      <c r="G12" t="s">
        <v>88</v>
      </c>
      <c r="H12" t="s">
        <v>89</v>
      </c>
      <c r="I12" t="s">
        <v>19</v>
      </c>
      <c r="J12" t="s">
        <v>20</v>
      </c>
      <c r="K12" t="s">
        <v>21</v>
      </c>
      <c r="L12" t="s">
        <v>22</v>
      </c>
    </row>
    <row r="13" spans="1:12" ht="100.8" x14ac:dyDescent="0.3">
      <c r="A13" t="s">
        <v>90</v>
      </c>
      <c r="B13" t="s">
        <v>91</v>
      </c>
      <c r="C13" t="s">
        <v>92</v>
      </c>
      <c r="D13" s="1" t="s">
        <v>93</v>
      </c>
      <c r="E13" t="s">
        <v>94</v>
      </c>
      <c r="H13" t="s">
        <v>95</v>
      </c>
      <c r="I13" t="s">
        <v>96</v>
      </c>
      <c r="J13" t="s">
        <v>97</v>
      </c>
      <c r="K13" t="s">
        <v>21</v>
      </c>
      <c r="L13" t="s">
        <v>22</v>
      </c>
    </row>
    <row r="14" spans="1:12" x14ac:dyDescent="0.3">
      <c r="A14" t="s">
        <v>98</v>
      </c>
      <c r="B14" t="s">
        <v>99</v>
      </c>
      <c r="C14" t="s">
        <v>100</v>
      </c>
      <c r="D14" t="s">
        <v>101</v>
      </c>
      <c r="E14" t="s">
        <v>94</v>
      </c>
      <c r="H14" t="s">
        <v>102</v>
      </c>
      <c r="I14" t="s">
        <v>96</v>
      </c>
      <c r="J14" t="s">
        <v>97</v>
      </c>
      <c r="K14" t="s">
        <v>21</v>
      </c>
      <c r="L14" t="s">
        <v>22</v>
      </c>
    </row>
    <row r="15" spans="1:12" x14ac:dyDescent="0.3">
      <c r="A15" t="s">
        <v>103</v>
      </c>
      <c r="B15" t="s">
        <v>104</v>
      </c>
      <c r="C15" t="s">
        <v>105</v>
      </c>
      <c r="H15" t="s">
        <v>106</v>
      </c>
      <c r="I15" s="2" t="s">
        <v>107</v>
      </c>
      <c r="J15" t="s">
        <v>108</v>
      </c>
      <c r="K15" t="s">
        <v>21</v>
      </c>
      <c r="L15" t="s">
        <v>22</v>
      </c>
    </row>
    <row r="16" spans="1:12" x14ac:dyDescent="0.3">
      <c r="A16" t="s">
        <v>109</v>
      </c>
      <c r="B16" t="s">
        <v>110</v>
      </c>
      <c r="C16" t="s">
        <v>111</v>
      </c>
      <c r="D16" t="s">
        <v>112</v>
      </c>
      <c r="H16" t="s">
        <v>113</v>
      </c>
      <c r="I16" s="2" t="s">
        <v>107</v>
      </c>
      <c r="J16" t="s">
        <v>108</v>
      </c>
      <c r="K16" t="s">
        <v>21</v>
      </c>
      <c r="L16" t="s">
        <v>22</v>
      </c>
    </row>
    <row r="17" spans="1:12" x14ac:dyDescent="0.3">
      <c r="A17" t="s">
        <v>114</v>
      </c>
      <c r="B17" t="s">
        <v>115</v>
      </c>
      <c r="C17" t="s">
        <v>116</v>
      </c>
      <c r="D17" t="s">
        <v>117</v>
      </c>
      <c r="E17" t="s">
        <v>118</v>
      </c>
      <c r="F17" t="s">
        <v>119</v>
      </c>
      <c r="G17" t="s">
        <v>120</v>
      </c>
      <c r="H17" t="s">
        <v>121</v>
      </c>
      <c r="I17" t="s">
        <v>122</v>
      </c>
      <c r="J17" t="s">
        <v>123</v>
      </c>
      <c r="K17" t="s">
        <v>21</v>
      </c>
      <c r="L17" t="s">
        <v>22</v>
      </c>
    </row>
    <row r="18" spans="1:12" ht="409.6" x14ac:dyDescent="0.3">
      <c r="A18" t="s">
        <v>124</v>
      </c>
      <c r="B18" t="s">
        <v>125</v>
      </c>
      <c r="C18" t="s">
        <v>126</v>
      </c>
      <c r="D18" s="1" t="s">
        <v>127</v>
      </c>
      <c r="E18" t="s">
        <v>53</v>
      </c>
      <c r="F18" t="s">
        <v>128</v>
      </c>
      <c r="G18" t="s">
        <v>129</v>
      </c>
      <c r="H18" t="s">
        <v>130</v>
      </c>
      <c r="I18" t="s">
        <v>131</v>
      </c>
      <c r="J18" t="s">
        <v>132</v>
      </c>
      <c r="K18" t="s">
        <v>21</v>
      </c>
      <c r="L18" t="s">
        <v>22</v>
      </c>
    </row>
    <row r="19" spans="1:12" ht="409.6" x14ac:dyDescent="0.3">
      <c r="A19" t="s">
        <v>133</v>
      </c>
      <c r="B19" t="s">
        <v>134</v>
      </c>
      <c r="C19" t="s">
        <v>135</v>
      </c>
      <c r="D19" s="1" t="s">
        <v>136</v>
      </c>
      <c r="E19" t="s">
        <v>94</v>
      </c>
      <c r="G19" t="s">
        <v>137</v>
      </c>
      <c r="H19" t="s">
        <v>138</v>
      </c>
      <c r="I19" t="s">
        <v>139</v>
      </c>
      <c r="J19" t="s">
        <v>140</v>
      </c>
      <c r="K19" t="s">
        <v>21</v>
      </c>
      <c r="L19" t="s">
        <v>22</v>
      </c>
    </row>
    <row r="20" spans="1:12" ht="230.4" x14ac:dyDescent="0.3">
      <c r="A20" t="s">
        <v>141</v>
      </c>
      <c r="B20" t="s">
        <v>142</v>
      </c>
      <c r="C20" t="s">
        <v>143</v>
      </c>
      <c r="D20" s="1" t="s">
        <v>144</v>
      </c>
      <c r="E20" t="s">
        <v>94</v>
      </c>
      <c r="H20" t="s">
        <v>145</v>
      </c>
      <c r="I20" t="s">
        <v>139</v>
      </c>
      <c r="J20" t="s">
        <v>140</v>
      </c>
      <c r="K20" t="s">
        <v>21</v>
      </c>
      <c r="L20" t="s">
        <v>22</v>
      </c>
    </row>
    <row r="21" spans="1:12" ht="144" x14ac:dyDescent="0.3">
      <c r="A21" t="s">
        <v>146</v>
      </c>
      <c r="B21" t="s">
        <v>147</v>
      </c>
      <c r="C21" t="s">
        <v>148</v>
      </c>
      <c r="D21" s="1" t="s">
        <v>149</v>
      </c>
      <c r="E21" t="s">
        <v>150</v>
      </c>
      <c r="H21" t="s">
        <v>151</v>
      </c>
      <c r="I21" t="s">
        <v>152</v>
      </c>
      <c r="J21" t="s">
        <v>153</v>
      </c>
      <c r="K21" t="s">
        <v>21</v>
      </c>
      <c r="L21" t="s">
        <v>22</v>
      </c>
    </row>
    <row r="22" spans="1:12" ht="409.6" x14ac:dyDescent="0.3">
      <c r="A22" t="s">
        <v>154</v>
      </c>
      <c r="B22" t="s">
        <v>155</v>
      </c>
      <c r="C22" t="s">
        <v>156</v>
      </c>
      <c r="D22" s="1" t="s">
        <v>157</v>
      </c>
      <c r="E22" t="s">
        <v>158</v>
      </c>
      <c r="F22" t="s">
        <v>119</v>
      </c>
      <c r="G22" t="s">
        <v>159</v>
      </c>
      <c r="H22" t="s">
        <v>160</v>
      </c>
      <c r="I22" t="s">
        <v>161</v>
      </c>
      <c r="J22" t="s">
        <v>162</v>
      </c>
      <c r="K22" t="s">
        <v>21</v>
      </c>
      <c r="L22" t="s">
        <v>22</v>
      </c>
    </row>
    <row r="23" spans="1:12" ht="409.6" x14ac:dyDescent="0.3">
      <c r="A23" t="s">
        <v>163</v>
      </c>
      <c r="B23" t="s">
        <v>164</v>
      </c>
      <c r="C23" t="s">
        <v>165</v>
      </c>
      <c r="D23" s="1" t="s">
        <v>166</v>
      </c>
      <c r="E23" t="s">
        <v>167</v>
      </c>
      <c r="F23" t="s">
        <v>119</v>
      </c>
      <c r="G23" t="s">
        <v>137</v>
      </c>
      <c r="H23" t="s">
        <v>168</v>
      </c>
      <c r="I23" t="s">
        <v>161</v>
      </c>
      <c r="J23" t="s">
        <v>162</v>
      </c>
      <c r="K23" t="s">
        <v>21</v>
      </c>
      <c r="L23" t="s">
        <v>22</v>
      </c>
    </row>
    <row r="24" spans="1:12" ht="409.6" x14ac:dyDescent="0.3">
      <c r="A24" t="s">
        <v>169</v>
      </c>
      <c r="B24" t="s">
        <v>170</v>
      </c>
      <c r="C24" t="s">
        <v>171</v>
      </c>
      <c r="D24" s="1" t="s">
        <v>172</v>
      </c>
      <c r="E24" t="s">
        <v>173</v>
      </c>
      <c r="G24" t="s">
        <v>137</v>
      </c>
      <c r="H24" t="s">
        <v>174</v>
      </c>
      <c r="I24" t="s">
        <v>161</v>
      </c>
      <c r="J24" t="s">
        <v>162</v>
      </c>
      <c r="K24" t="s">
        <v>21</v>
      </c>
      <c r="L24" t="s">
        <v>22</v>
      </c>
    </row>
    <row r="25" spans="1:12" ht="409.6" x14ac:dyDescent="0.3">
      <c r="A25" t="s">
        <v>175</v>
      </c>
      <c r="B25" t="s">
        <v>176</v>
      </c>
      <c r="C25" t="s">
        <v>177</v>
      </c>
      <c r="D25" s="1" t="s">
        <v>178</v>
      </c>
      <c r="E25" t="s">
        <v>179</v>
      </c>
      <c r="G25" t="s">
        <v>180</v>
      </c>
      <c r="H25" t="s">
        <v>181</v>
      </c>
      <c r="I25" t="s">
        <v>161</v>
      </c>
      <c r="J25" t="s">
        <v>162</v>
      </c>
      <c r="K25" t="s">
        <v>21</v>
      </c>
      <c r="L25" t="s">
        <v>22</v>
      </c>
    </row>
    <row r="26" spans="1:12" ht="172.8" x14ac:dyDescent="0.3">
      <c r="A26" t="s">
        <v>182</v>
      </c>
      <c r="B26" t="s">
        <v>183</v>
      </c>
      <c r="C26" t="s">
        <v>184</v>
      </c>
      <c r="D26" s="1" t="s">
        <v>185</v>
      </c>
      <c r="E26" t="s">
        <v>186</v>
      </c>
      <c r="H26" t="s">
        <v>187</v>
      </c>
      <c r="I26" t="s">
        <v>161</v>
      </c>
      <c r="J26" t="s">
        <v>162</v>
      </c>
      <c r="K26" t="s">
        <v>21</v>
      </c>
      <c r="L26" t="s">
        <v>22</v>
      </c>
    </row>
    <row r="27" spans="1:12" ht="144" x14ac:dyDescent="0.3">
      <c r="A27" t="s">
        <v>188</v>
      </c>
      <c r="B27" t="s">
        <v>189</v>
      </c>
      <c r="C27" t="s">
        <v>190</v>
      </c>
      <c r="D27" s="1" t="s">
        <v>191</v>
      </c>
      <c r="E27" t="s">
        <v>186</v>
      </c>
      <c r="H27" t="s">
        <v>192</v>
      </c>
      <c r="I27" t="s">
        <v>161</v>
      </c>
      <c r="J27" t="s">
        <v>162</v>
      </c>
      <c r="K27" t="s">
        <v>21</v>
      </c>
      <c r="L27" t="s">
        <v>22</v>
      </c>
    </row>
    <row r="28" spans="1:12" ht="409.6" x14ac:dyDescent="0.3">
      <c r="A28" t="s">
        <v>193</v>
      </c>
      <c r="B28" t="s">
        <v>194</v>
      </c>
      <c r="C28" t="s">
        <v>195</v>
      </c>
      <c r="D28" s="1" t="s">
        <v>196</v>
      </c>
      <c r="E28" t="s">
        <v>197</v>
      </c>
      <c r="F28" t="s">
        <v>128</v>
      </c>
      <c r="G28" t="s">
        <v>137</v>
      </c>
      <c r="H28" t="s">
        <v>198</v>
      </c>
      <c r="I28" t="s">
        <v>161</v>
      </c>
      <c r="J28" t="s">
        <v>162</v>
      </c>
      <c r="K28" t="s">
        <v>21</v>
      </c>
      <c r="L28" t="s">
        <v>22</v>
      </c>
    </row>
    <row r="29" spans="1:12" ht="388.8" x14ac:dyDescent="0.3">
      <c r="A29" t="s">
        <v>199</v>
      </c>
      <c r="B29" t="s">
        <v>200</v>
      </c>
      <c r="C29" t="s">
        <v>201</v>
      </c>
      <c r="D29" s="1" t="s">
        <v>202</v>
      </c>
      <c r="E29" t="s">
        <v>203</v>
      </c>
      <c r="G29" t="s">
        <v>204</v>
      </c>
      <c r="H29" t="s">
        <v>205</v>
      </c>
      <c r="I29" t="s">
        <v>161</v>
      </c>
      <c r="J29" t="s">
        <v>162</v>
      </c>
      <c r="K29" t="s">
        <v>21</v>
      </c>
      <c r="L29" t="s">
        <v>22</v>
      </c>
    </row>
    <row r="30" spans="1:12" ht="302.39999999999998" x14ac:dyDescent="0.3">
      <c r="A30" t="s">
        <v>206</v>
      </c>
      <c r="B30" t="s">
        <v>207</v>
      </c>
      <c r="C30" t="s">
        <v>208</v>
      </c>
      <c r="D30" s="1" t="s">
        <v>209</v>
      </c>
      <c r="E30" t="s">
        <v>210</v>
      </c>
      <c r="G30" t="s">
        <v>211</v>
      </c>
      <c r="H30" t="s">
        <v>212</v>
      </c>
      <c r="I30" t="s">
        <v>213</v>
      </c>
      <c r="J30" t="s">
        <v>214</v>
      </c>
      <c r="K30" t="s">
        <v>21</v>
      </c>
      <c r="L30" t="s">
        <v>22</v>
      </c>
    </row>
    <row r="31" spans="1:12" ht="409.6" x14ac:dyDescent="0.3">
      <c r="A31" t="s">
        <v>215</v>
      </c>
      <c r="B31" t="s">
        <v>216</v>
      </c>
      <c r="C31" t="s">
        <v>217</v>
      </c>
      <c r="D31" s="1" t="s">
        <v>218</v>
      </c>
      <c r="E31" t="s">
        <v>219</v>
      </c>
      <c r="G31" t="s">
        <v>220</v>
      </c>
      <c r="H31" t="s">
        <v>221</v>
      </c>
      <c r="I31" t="s">
        <v>213</v>
      </c>
      <c r="J31" t="s">
        <v>214</v>
      </c>
      <c r="K31" t="s">
        <v>21</v>
      </c>
      <c r="L31" t="s">
        <v>22</v>
      </c>
    </row>
    <row r="32" spans="1:12" ht="409.6" x14ac:dyDescent="0.3">
      <c r="A32" t="s">
        <v>222</v>
      </c>
      <c r="B32" t="s">
        <v>223</v>
      </c>
      <c r="C32" t="s">
        <v>224</v>
      </c>
      <c r="D32" s="1" t="s">
        <v>225</v>
      </c>
      <c r="E32" t="s">
        <v>226</v>
      </c>
      <c r="G32" t="s">
        <v>227</v>
      </c>
      <c r="H32" t="s">
        <v>228</v>
      </c>
      <c r="I32" t="s">
        <v>213</v>
      </c>
      <c r="J32" t="s">
        <v>214</v>
      </c>
      <c r="K32" t="s">
        <v>21</v>
      </c>
      <c r="L32" t="s">
        <v>22</v>
      </c>
    </row>
    <row r="33" spans="1:12" ht="409.6" x14ac:dyDescent="0.3">
      <c r="A33" t="s">
        <v>229</v>
      </c>
      <c r="B33" t="s">
        <v>230</v>
      </c>
      <c r="C33" t="s">
        <v>231</v>
      </c>
      <c r="D33" s="1" t="s">
        <v>232</v>
      </c>
      <c r="E33" t="s">
        <v>226</v>
      </c>
      <c r="G33" t="s">
        <v>211</v>
      </c>
      <c r="H33" t="s">
        <v>233</v>
      </c>
      <c r="I33" t="s">
        <v>213</v>
      </c>
      <c r="J33" t="s">
        <v>214</v>
      </c>
      <c r="K33" t="s">
        <v>21</v>
      </c>
      <c r="L33" t="s">
        <v>22</v>
      </c>
    </row>
    <row r="34" spans="1:12" ht="409.6" x14ac:dyDescent="0.3">
      <c r="A34" t="s">
        <v>234</v>
      </c>
      <c r="B34" t="s">
        <v>235</v>
      </c>
      <c r="C34" t="s">
        <v>236</v>
      </c>
      <c r="D34" s="1" t="s">
        <v>237</v>
      </c>
      <c r="E34" t="s">
        <v>238</v>
      </c>
      <c r="G34" t="s">
        <v>239</v>
      </c>
      <c r="H34" t="s">
        <v>240</v>
      </c>
      <c r="I34" t="s">
        <v>213</v>
      </c>
      <c r="J34" t="s">
        <v>214</v>
      </c>
      <c r="K34" t="s">
        <v>21</v>
      </c>
      <c r="L34" t="s">
        <v>22</v>
      </c>
    </row>
    <row r="35" spans="1:12" ht="403.2" x14ac:dyDescent="0.3">
      <c r="A35" t="s">
        <v>241</v>
      </c>
      <c r="B35" t="s">
        <v>242</v>
      </c>
      <c r="C35" t="s">
        <v>243</v>
      </c>
      <c r="D35" s="1" t="s">
        <v>244</v>
      </c>
      <c r="E35" t="s">
        <v>226</v>
      </c>
      <c r="G35" t="s">
        <v>211</v>
      </c>
      <c r="H35" t="s">
        <v>245</v>
      </c>
      <c r="I35" t="s">
        <v>213</v>
      </c>
      <c r="J35" t="s">
        <v>214</v>
      </c>
      <c r="K35" t="s">
        <v>21</v>
      </c>
      <c r="L35" t="s">
        <v>22</v>
      </c>
    </row>
    <row r="36" spans="1:12" ht="409.6" x14ac:dyDescent="0.3">
      <c r="A36" t="s">
        <v>246</v>
      </c>
      <c r="B36" t="s">
        <v>247</v>
      </c>
      <c r="C36" t="s">
        <v>248</v>
      </c>
      <c r="D36" s="1" t="s">
        <v>249</v>
      </c>
      <c r="E36" t="s">
        <v>250</v>
      </c>
      <c r="G36" t="s">
        <v>180</v>
      </c>
      <c r="H36" t="s">
        <v>251</v>
      </c>
      <c r="I36" t="s">
        <v>213</v>
      </c>
      <c r="J36" t="s">
        <v>214</v>
      </c>
      <c r="K36" t="s">
        <v>21</v>
      </c>
      <c r="L36" t="s">
        <v>22</v>
      </c>
    </row>
    <row r="37" spans="1:12" ht="409.6" x14ac:dyDescent="0.3">
      <c r="A37" t="s">
        <v>252</v>
      </c>
      <c r="B37" t="s">
        <v>253</v>
      </c>
      <c r="C37" t="s">
        <v>254</v>
      </c>
      <c r="D37" s="1" t="s">
        <v>255</v>
      </c>
      <c r="E37" t="s">
        <v>256</v>
      </c>
      <c r="G37" t="s">
        <v>257</v>
      </c>
      <c r="H37" t="s">
        <v>258</v>
      </c>
      <c r="I37" t="s">
        <v>259</v>
      </c>
      <c r="J37" t="s">
        <v>260</v>
      </c>
      <c r="K37" t="s">
        <v>21</v>
      </c>
      <c r="L37" t="s">
        <v>22</v>
      </c>
    </row>
    <row r="38" spans="1:12" ht="409.6" x14ac:dyDescent="0.3">
      <c r="A38" t="s">
        <v>261</v>
      </c>
      <c r="B38" t="s">
        <v>262</v>
      </c>
      <c r="C38" t="s">
        <v>263</v>
      </c>
      <c r="D38" s="1" t="s">
        <v>264</v>
      </c>
      <c r="E38" t="s">
        <v>256</v>
      </c>
      <c r="G38" t="s">
        <v>265</v>
      </c>
      <c r="H38" t="s">
        <v>266</v>
      </c>
      <c r="I38" t="s">
        <v>259</v>
      </c>
      <c r="J38" t="s">
        <v>260</v>
      </c>
      <c r="K38" t="s">
        <v>21</v>
      </c>
      <c r="L38" t="s">
        <v>22</v>
      </c>
    </row>
    <row r="39" spans="1:12" ht="172.8" x14ac:dyDescent="0.3">
      <c r="A39" t="s">
        <v>267</v>
      </c>
      <c r="B39" t="s">
        <v>268</v>
      </c>
      <c r="C39" t="s">
        <v>269</v>
      </c>
      <c r="D39" s="1" t="s">
        <v>270</v>
      </c>
      <c r="E39" t="s">
        <v>94</v>
      </c>
      <c r="G39" t="s">
        <v>271</v>
      </c>
      <c r="H39" t="s">
        <v>272</v>
      </c>
      <c r="I39" t="s">
        <v>273</v>
      </c>
      <c r="J39" t="s">
        <v>274</v>
      </c>
      <c r="K39" t="s">
        <v>21</v>
      </c>
      <c r="L39" t="s">
        <v>22</v>
      </c>
    </row>
    <row r="40" spans="1:12" x14ac:dyDescent="0.3">
      <c r="A40" t="s">
        <v>275</v>
      </c>
      <c r="B40" t="s">
        <v>276</v>
      </c>
      <c r="C40" t="s">
        <v>277</v>
      </c>
      <c r="E40" t="s">
        <v>94</v>
      </c>
      <c r="G40" t="s">
        <v>271</v>
      </c>
      <c r="H40" t="s">
        <v>278</v>
      </c>
      <c r="I40" t="s">
        <v>273</v>
      </c>
      <c r="J40" t="s">
        <v>274</v>
      </c>
      <c r="K40" t="s">
        <v>21</v>
      </c>
      <c r="L40" t="s">
        <v>22</v>
      </c>
    </row>
    <row r="41" spans="1:12" ht="201.6" x14ac:dyDescent="0.3">
      <c r="A41" s="2" t="s">
        <v>279</v>
      </c>
      <c r="B41" t="s">
        <v>280</v>
      </c>
      <c r="C41" t="s">
        <v>281</v>
      </c>
      <c r="D41" s="1" t="s">
        <v>282</v>
      </c>
      <c r="E41" t="s">
        <v>186</v>
      </c>
      <c r="G41" t="s">
        <v>271</v>
      </c>
      <c r="H41" t="s">
        <v>283</v>
      </c>
      <c r="I41" t="s">
        <v>273</v>
      </c>
      <c r="J41" t="s">
        <v>274</v>
      </c>
      <c r="K41" t="s">
        <v>21</v>
      </c>
      <c r="L41" t="s">
        <v>22</v>
      </c>
    </row>
    <row r="42" spans="1:12" ht="144" x14ac:dyDescent="0.3">
      <c r="A42" t="s">
        <v>284</v>
      </c>
      <c r="B42" t="s">
        <v>285</v>
      </c>
      <c r="C42" t="s">
        <v>286</v>
      </c>
      <c r="D42" s="1" t="s">
        <v>287</v>
      </c>
      <c r="E42" t="s">
        <v>186</v>
      </c>
      <c r="G42" t="s">
        <v>271</v>
      </c>
      <c r="H42" t="s">
        <v>288</v>
      </c>
      <c r="I42" t="s">
        <v>273</v>
      </c>
      <c r="J42" t="s">
        <v>274</v>
      </c>
      <c r="K42" t="s">
        <v>21</v>
      </c>
      <c r="L42" t="s">
        <v>22</v>
      </c>
    </row>
    <row r="43" spans="1:12" ht="158.4" x14ac:dyDescent="0.3">
      <c r="A43" t="s">
        <v>289</v>
      </c>
      <c r="B43" t="s">
        <v>290</v>
      </c>
      <c r="C43" t="s">
        <v>291</v>
      </c>
      <c r="D43" s="1" t="s">
        <v>292</v>
      </c>
      <c r="E43" t="s">
        <v>186</v>
      </c>
      <c r="G43" t="s">
        <v>271</v>
      </c>
      <c r="H43" t="s">
        <v>293</v>
      </c>
      <c r="I43" t="s">
        <v>273</v>
      </c>
      <c r="J43" t="s">
        <v>274</v>
      </c>
      <c r="K43" t="s">
        <v>21</v>
      </c>
      <c r="L43" t="s">
        <v>22</v>
      </c>
    </row>
    <row r="44" spans="1:12" ht="187.2" x14ac:dyDescent="0.3">
      <c r="A44" t="s">
        <v>294</v>
      </c>
      <c r="B44" t="s">
        <v>295</v>
      </c>
      <c r="C44" t="s">
        <v>296</v>
      </c>
      <c r="D44" s="1" t="s">
        <v>297</v>
      </c>
      <c r="E44" t="s">
        <v>186</v>
      </c>
      <c r="G44" t="s">
        <v>271</v>
      </c>
      <c r="H44" t="s">
        <v>298</v>
      </c>
      <c r="I44" t="s">
        <v>273</v>
      </c>
      <c r="J44" t="s">
        <v>274</v>
      </c>
      <c r="K44" t="s">
        <v>21</v>
      </c>
      <c r="L44" t="s">
        <v>22</v>
      </c>
    </row>
    <row r="45" spans="1:12" ht="230.4" x14ac:dyDescent="0.3">
      <c r="A45" t="s">
        <v>299</v>
      </c>
      <c r="B45" t="s">
        <v>300</v>
      </c>
      <c r="C45" t="s">
        <v>301</v>
      </c>
      <c r="D45" s="1" t="s">
        <v>302</v>
      </c>
      <c r="E45" t="s">
        <v>186</v>
      </c>
      <c r="G45" t="s">
        <v>271</v>
      </c>
      <c r="H45" t="s">
        <v>303</v>
      </c>
      <c r="I45" t="s">
        <v>273</v>
      </c>
      <c r="J45" t="s">
        <v>274</v>
      </c>
      <c r="K45" t="s">
        <v>21</v>
      </c>
      <c r="L45" t="s">
        <v>22</v>
      </c>
    </row>
    <row r="46" spans="1:12" ht="144" x14ac:dyDescent="0.3">
      <c r="A46" t="s">
        <v>304</v>
      </c>
      <c r="B46" t="s">
        <v>305</v>
      </c>
      <c r="C46" t="s">
        <v>306</v>
      </c>
      <c r="D46" s="1" t="s">
        <v>307</v>
      </c>
      <c r="E46" t="s">
        <v>186</v>
      </c>
      <c r="G46" t="s">
        <v>271</v>
      </c>
      <c r="H46" t="s">
        <v>308</v>
      </c>
      <c r="I46" t="s">
        <v>273</v>
      </c>
      <c r="J46" t="s">
        <v>274</v>
      </c>
      <c r="K46" t="s">
        <v>21</v>
      </c>
      <c r="L46" t="s">
        <v>22</v>
      </c>
    </row>
    <row r="47" spans="1:12" ht="172.8" x14ac:dyDescent="0.3">
      <c r="A47" t="s">
        <v>309</v>
      </c>
      <c r="B47" t="s">
        <v>310</v>
      </c>
      <c r="C47" t="s">
        <v>311</v>
      </c>
      <c r="D47" s="1" t="s">
        <v>312</v>
      </c>
      <c r="E47" t="s">
        <v>94</v>
      </c>
      <c r="G47" t="s">
        <v>271</v>
      </c>
      <c r="H47" t="s">
        <v>313</v>
      </c>
      <c r="I47" t="s">
        <v>273</v>
      </c>
      <c r="J47" t="s">
        <v>274</v>
      </c>
      <c r="K47" t="s">
        <v>21</v>
      </c>
      <c r="L47" t="s">
        <v>22</v>
      </c>
    </row>
    <row r="48" spans="1:12" ht="201.6" x14ac:dyDescent="0.3">
      <c r="A48" t="s">
        <v>314</v>
      </c>
      <c r="B48" t="s">
        <v>315</v>
      </c>
      <c r="C48" t="s">
        <v>316</v>
      </c>
      <c r="D48" s="1" t="s">
        <v>317</v>
      </c>
      <c r="E48" t="s">
        <v>94</v>
      </c>
      <c r="G48" t="s">
        <v>271</v>
      </c>
      <c r="H48" t="s">
        <v>318</v>
      </c>
      <c r="I48" t="s">
        <v>273</v>
      </c>
      <c r="J48" t="s">
        <v>274</v>
      </c>
      <c r="K48" t="s">
        <v>21</v>
      </c>
      <c r="L48" t="s">
        <v>22</v>
      </c>
    </row>
    <row r="49" spans="1:12" ht="244.8" x14ac:dyDescent="0.3">
      <c r="A49" t="s">
        <v>319</v>
      </c>
      <c r="B49" t="s">
        <v>320</v>
      </c>
      <c r="C49" t="s">
        <v>321</v>
      </c>
      <c r="D49" s="1" t="s">
        <v>322</v>
      </c>
      <c r="E49" t="s">
        <v>94</v>
      </c>
      <c r="G49" t="s">
        <v>271</v>
      </c>
      <c r="H49" t="s">
        <v>323</v>
      </c>
      <c r="I49" t="s">
        <v>273</v>
      </c>
      <c r="J49" t="s">
        <v>274</v>
      </c>
      <c r="K49" t="s">
        <v>21</v>
      </c>
      <c r="L49" t="s">
        <v>22</v>
      </c>
    </row>
    <row r="50" spans="1:12" ht="129.6" x14ac:dyDescent="0.3">
      <c r="A50" t="s">
        <v>324</v>
      </c>
      <c r="B50" t="s">
        <v>325</v>
      </c>
      <c r="C50" t="s">
        <v>326</v>
      </c>
      <c r="D50" s="1" t="s">
        <v>327</v>
      </c>
      <c r="E50" t="s">
        <v>186</v>
      </c>
      <c r="G50" t="s">
        <v>271</v>
      </c>
      <c r="H50" t="s">
        <v>328</v>
      </c>
      <c r="I50" t="s">
        <v>273</v>
      </c>
      <c r="J50" t="s">
        <v>274</v>
      </c>
      <c r="K50" t="s">
        <v>21</v>
      </c>
      <c r="L50" t="s">
        <v>22</v>
      </c>
    </row>
    <row r="51" spans="1:12" ht="409.6" x14ac:dyDescent="0.3">
      <c r="A51" t="s">
        <v>329</v>
      </c>
      <c r="B51" t="s">
        <v>330</v>
      </c>
      <c r="C51" t="s">
        <v>331</v>
      </c>
      <c r="D51" s="1" t="s">
        <v>332</v>
      </c>
      <c r="E51" t="s">
        <v>333</v>
      </c>
      <c r="F51" t="s">
        <v>128</v>
      </c>
      <c r="G51" t="s">
        <v>211</v>
      </c>
      <c r="H51" t="s">
        <v>334</v>
      </c>
      <c r="I51" t="s">
        <v>335</v>
      </c>
      <c r="J51" t="s">
        <v>336</v>
      </c>
      <c r="K51" t="s">
        <v>21</v>
      </c>
      <c r="L51" t="s">
        <v>22</v>
      </c>
    </row>
    <row r="52" spans="1:12" ht="100.8" x14ac:dyDescent="0.3">
      <c r="A52" t="s">
        <v>337</v>
      </c>
      <c r="B52" t="s">
        <v>338</v>
      </c>
      <c r="C52" t="s">
        <v>339</v>
      </c>
      <c r="D52" s="1" t="s">
        <v>340</v>
      </c>
      <c r="E52" t="s">
        <v>186</v>
      </c>
      <c r="G52" t="s">
        <v>137</v>
      </c>
      <c r="H52" t="s">
        <v>341</v>
      </c>
      <c r="I52" t="s">
        <v>335</v>
      </c>
      <c r="J52" t="s">
        <v>336</v>
      </c>
      <c r="K52" t="s">
        <v>21</v>
      </c>
      <c r="L52" t="s">
        <v>22</v>
      </c>
    </row>
    <row r="53" spans="1:12" ht="331.2" x14ac:dyDescent="0.3">
      <c r="A53" t="s">
        <v>342</v>
      </c>
      <c r="B53" t="s">
        <v>343</v>
      </c>
      <c r="C53" t="s">
        <v>344</v>
      </c>
      <c r="D53" s="1" t="s">
        <v>345</v>
      </c>
      <c r="E53" t="s">
        <v>346</v>
      </c>
      <c r="F53" t="s">
        <v>128</v>
      </c>
      <c r="G53" t="s">
        <v>347</v>
      </c>
      <c r="H53" t="s">
        <v>348</v>
      </c>
      <c r="I53" t="s">
        <v>335</v>
      </c>
      <c r="J53" t="s">
        <v>336</v>
      </c>
      <c r="K53" t="s">
        <v>21</v>
      </c>
      <c r="L53" t="s">
        <v>22</v>
      </c>
    </row>
    <row r="54" spans="1:12" ht="158.4" x14ac:dyDescent="0.3">
      <c r="A54" t="s">
        <v>349</v>
      </c>
      <c r="B54" t="s">
        <v>350</v>
      </c>
      <c r="C54" t="s">
        <v>351</v>
      </c>
      <c r="D54" s="1" t="s">
        <v>352</v>
      </c>
      <c r="E54" t="s">
        <v>186</v>
      </c>
      <c r="F54" t="s">
        <v>353</v>
      </c>
      <c r="H54" t="s">
        <v>354</v>
      </c>
      <c r="I54" t="s">
        <v>355</v>
      </c>
      <c r="J54" t="s">
        <v>356</v>
      </c>
      <c r="K54" t="s">
        <v>21</v>
      </c>
      <c r="L54" t="s">
        <v>22</v>
      </c>
    </row>
    <row r="55" spans="1:12" ht="172.8" x14ac:dyDescent="0.3">
      <c r="A55" t="s">
        <v>357</v>
      </c>
      <c r="B55" t="s">
        <v>358</v>
      </c>
      <c r="C55" t="s">
        <v>359</v>
      </c>
      <c r="D55" s="1" t="s">
        <v>360</v>
      </c>
      <c r="E55" t="s">
        <v>361</v>
      </c>
      <c r="F55" t="s">
        <v>353</v>
      </c>
      <c r="H55" t="s">
        <v>362</v>
      </c>
      <c r="I55" t="s">
        <v>355</v>
      </c>
      <c r="J55" t="s">
        <v>356</v>
      </c>
      <c r="K55" t="s">
        <v>21</v>
      </c>
      <c r="L55" t="s">
        <v>22</v>
      </c>
    </row>
    <row r="56" spans="1:12" ht="409.6" x14ac:dyDescent="0.3">
      <c r="A56" t="s">
        <v>363</v>
      </c>
      <c r="B56" t="s">
        <v>364</v>
      </c>
      <c r="C56" t="s">
        <v>365</v>
      </c>
      <c r="D56" s="1" t="s">
        <v>366</v>
      </c>
      <c r="E56" t="s">
        <v>367</v>
      </c>
      <c r="G56" t="s">
        <v>368</v>
      </c>
      <c r="H56" t="s">
        <v>369</v>
      </c>
      <c r="I56" t="s">
        <v>370</v>
      </c>
      <c r="J56" t="s">
        <v>371</v>
      </c>
      <c r="K56" t="s">
        <v>21</v>
      </c>
      <c r="L56" t="s">
        <v>22</v>
      </c>
    </row>
    <row r="57" spans="1:12" ht="409.6" x14ac:dyDescent="0.3">
      <c r="A57" t="s">
        <v>372</v>
      </c>
      <c r="B57" t="s">
        <v>373</v>
      </c>
      <c r="C57" t="s">
        <v>374</v>
      </c>
      <c r="D57" s="1" t="s">
        <v>375</v>
      </c>
      <c r="E57" t="s">
        <v>376</v>
      </c>
      <c r="G57" t="s">
        <v>137</v>
      </c>
      <c r="H57" t="s">
        <v>377</v>
      </c>
      <c r="I57" t="s">
        <v>378</v>
      </c>
      <c r="J57" t="s">
        <v>379</v>
      </c>
      <c r="K57" t="s">
        <v>21</v>
      </c>
      <c r="L57" t="s">
        <v>22</v>
      </c>
    </row>
    <row r="58" spans="1:12" ht="172.8" x14ac:dyDescent="0.3">
      <c r="A58" t="s">
        <v>380</v>
      </c>
      <c r="B58" t="s">
        <v>381</v>
      </c>
      <c r="C58" t="s">
        <v>382</v>
      </c>
      <c r="D58" s="1" t="s">
        <v>383</v>
      </c>
      <c r="E58" t="s">
        <v>384</v>
      </c>
      <c r="G58" t="s">
        <v>137</v>
      </c>
      <c r="H58" t="s">
        <v>385</v>
      </c>
      <c r="I58" t="s">
        <v>378</v>
      </c>
      <c r="J58" t="s">
        <v>379</v>
      </c>
      <c r="K58" t="s">
        <v>21</v>
      </c>
      <c r="L58" t="s">
        <v>22</v>
      </c>
    </row>
    <row r="59" spans="1:12" ht="409.6" x14ac:dyDescent="0.3">
      <c r="A59" t="s">
        <v>386</v>
      </c>
      <c r="B59" t="s">
        <v>387</v>
      </c>
      <c r="C59" t="s">
        <v>388</v>
      </c>
      <c r="D59" s="1" t="s">
        <v>389</v>
      </c>
      <c r="E59" t="s">
        <v>53</v>
      </c>
      <c r="G59" t="s">
        <v>137</v>
      </c>
      <c r="H59" t="s">
        <v>390</v>
      </c>
      <c r="I59" t="s">
        <v>378</v>
      </c>
      <c r="J59" t="s">
        <v>379</v>
      </c>
      <c r="K59" t="s">
        <v>21</v>
      </c>
      <c r="L59" t="s">
        <v>22</v>
      </c>
    </row>
    <row r="60" spans="1:12" ht="409.6" x14ac:dyDescent="0.3">
      <c r="A60" t="s">
        <v>391</v>
      </c>
      <c r="B60" t="s">
        <v>392</v>
      </c>
      <c r="C60" t="s">
        <v>393</v>
      </c>
      <c r="D60" s="1" t="s">
        <v>394</v>
      </c>
      <c r="E60" t="s">
        <v>395</v>
      </c>
      <c r="F60" t="s">
        <v>396</v>
      </c>
      <c r="G60" t="s">
        <v>397</v>
      </c>
      <c r="H60" t="s">
        <v>398</v>
      </c>
      <c r="I60" t="s">
        <v>399</v>
      </c>
      <c r="J60" t="s">
        <v>400</v>
      </c>
      <c r="K60" t="s">
        <v>21</v>
      </c>
      <c r="L60" t="s">
        <v>22</v>
      </c>
    </row>
    <row r="61" spans="1:12" ht="201.6" x14ac:dyDescent="0.3">
      <c r="A61" t="s">
        <v>401</v>
      </c>
      <c r="B61" t="s">
        <v>402</v>
      </c>
      <c r="C61" t="s">
        <v>403</v>
      </c>
      <c r="D61" s="1" t="s">
        <v>404</v>
      </c>
      <c r="E61" t="s">
        <v>405</v>
      </c>
      <c r="F61" t="s">
        <v>406</v>
      </c>
      <c r="G61" t="s">
        <v>159</v>
      </c>
      <c r="H61" t="s">
        <v>407</v>
      </c>
      <c r="I61" t="s">
        <v>399</v>
      </c>
      <c r="J61" t="s">
        <v>400</v>
      </c>
      <c r="K61" t="s">
        <v>21</v>
      </c>
      <c r="L61" t="s">
        <v>22</v>
      </c>
    </row>
    <row r="62" spans="1:12" ht="201.6" x14ac:dyDescent="0.3">
      <c r="A62" t="s">
        <v>408</v>
      </c>
      <c r="B62" t="s">
        <v>409</v>
      </c>
      <c r="C62" t="s">
        <v>410</v>
      </c>
      <c r="D62" s="1" t="s">
        <v>411</v>
      </c>
      <c r="E62" t="s">
        <v>405</v>
      </c>
      <c r="F62" t="s">
        <v>406</v>
      </c>
      <c r="G62" t="s">
        <v>204</v>
      </c>
      <c r="H62" t="s">
        <v>412</v>
      </c>
      <c r="I62" t="s">
        <v>399</v>
      </c>
      <c r="J62" t="s">
        <v>400</v>
      </c>
      <c r="K62" t="s">
        <v>21</v>
      </c>
      <c r="L62" t="s">
        <v>22</v>
      </c>
    </row>
    <row r="63" spans="1:12" ht="144" x14ac:dyDescent="0.3">
      <c r="A63" t="s">
        <v>413</v>
      </c>
      <c r="B63" t="s">
        <v>414</v>
      </c>
      <c r="C63" t="s">
        <v>415</v>
      </c>
      <c r="D63" s="1" t="s">
        <v>416</v>
      </c>
      <c r="E63" t="s">
        <v>405</v>
      </c>
      <c r="F63" t="s">
        <v>406</v>
      </c>
      <c r="G63" t="s">
        <v>159</v>
      </c>
      <c r="H63" t="s">
        <v>417</v>
      </c>
      <c r="I63" t="s">
        <v>399</v>
      </c>
      <c r="J63" t="s">
        <v>400</v>
      </c>
      <c r="K63" t="s">
        <v>21</v>
      </c>
      <c r="L63" t="s">
        <v>22</v>
      </c>
    </row>
    <row r="64" spans="1:12" ht="403.2" x14ac:dyDescent="0.3">
      <c r="A64" t="s">
        <v>418</v>
      </c>
      <c r="B64" t="s">
        <v>419</v>
      </c>
      <c r="C64" t="s">
        <v>420</v>
      </c>
      <c r="D64" s="1" t="s">
        <v>421</v>
      </c>
      <c r="E64" t="s">
        <v>405</v>
      </c>
      <c r="F64" t="s">
        <v>406</v>
      </c>
      <c r="G64" t="s">
        <v>159</v>
      </c>
      <c r="H64" t="s">
        <v>422</v>
      </c>
      <c r="I64" t="s">
        <v>399</v>
      </c>
      <c r="J64" t="s">
        <v>400</v>
      </c>
      <c r="K64" t="s">
        <v>21</v>
      </c>
      <c r="L64" t="s">
        <v>22</v>
      </c>
    </row>
    <row r="65" spans="1:12" x14ac:dyDescent="0.3">
      <c r="A65" t="s">
        <v>423</v>
      </c>
      <c r="B65" t="s">
        <v>424</v>
      </c>
      <c r="C65" t="s">
        <v>425</v>
      </c>
      <c r="D65" t="s">
        <v>426</v>
      </c>
      <c r="E65" t="s">
        <v>405</v>
      </c>
      <c r="F65" t="s">
        <v>406</v>
      </c>
      <c r="G65" t="s">
        <v>159</v>
      </c>
      <c r="H65" t="s">
        <v>427</v>
      </c>
      <c r="I65" t="s">
        <v>399</v>
      </c>
      <c r="J65" t="s">
        <v>400</v>
      </c>
      <c r="K65" t="s">
        <v>21</v>
      </c>
      <c r="L65" t="s">
        <v>22</v>
      </c>
    </row>
    <row r="66" spans="1:12" ht="259.2" x14ac:dyDescent="0.3">
      <c r="A66" t="s">
        <v>428</v>
      </c>
      <c r="B66" t="s">
        <v>429</v>
      </c>
      <c r="C66" t="s">
        <v>430</v>
      </c>
      <c r="D66" s="1" t="s">
        <v>431</v>
      </c>
      <c r="E66" t="s">
        <v>405</v>
      </c>
      <c r="F66" t="s">
        <v>406</v>
      </c>
      <c r="G66" t="s">
        <v>159</v>
      </c>
      <c r="H66" t="s">
        <v>432</v>
      </c>
      <c r="I66" t="s">
        <v>399</v>
      </c>
      <c r="J66" t="s">
        <v>400</v>
      </c>
      <c r="K66" t="s">
        <v>21</v>
      </c>
      <c r="L66" t="s">
        <v>22</v>
      </c>
    </row>
    <row r="67" spans="1:12" ht="409.6" x14ac:dyDescent="0.3">
      <c r="A67" t="s">
        <v>433</v>
      </c>
      <c r="B67" t="s">
        <v>434</v>
      </c>
      <c r="C67" t="s">
        <v>435</v>
      </c>
      <c r="D67" s="1" t="s">
        <v>436</v>
      </c>
      <c r="E67" t="s">
        <v>437</v>
      </c>
      <c r="F67" t="s">
        <v>406</v>
      </c>
      <c r="G67" t="s">
        <v>438</v>
      </c>
      <c r="H67" t="s">
        <v>439</v>
      </c>
      <c r="I67" t="s">
        <v>399</v>
      </c>
      <c r="J67" t="s">
        <v>400</v>
      </c>
      <c r="K67" t="s">
        <v>21</v>
      </c>
      <c r="L67" t="s">
        <v>22</v>
      </c>
    </row>
    <row r="68" spans="1:12" ht="115.2" x14ac:dyDescent="0.3">
      <c r="A68" t="s">
        <v>440</v>
      </c>
      <c r="B68" t="s">
        <v>441</v>
      </c>
      <c r="C68" t="s">
        <v>442</v>
      </c>
      <c r="D68" s="1" t="s">
        <v>443</v>
      </c>
      <c r="E68" t="s">
        <v>444</v>
      </c>
      <c r="F68" t="s">
        <v>396</v>
      </c>
      <c r="G68" t="s">
        <v>445</v>
      </c>
      <c r="H68" t="s">
        <v>446</v>
      </c>
      <c r="I68" t="s">
        <v>399</v>
      </c>
      <c r="J68" t="s">
        <v>400</v>
      </c>
      <c r="K68" t="s">
        <v>21</v>
      </c>
      <c r="L68" t="s">
        <v>22</v>
      </c>
    </row>
    <row r="69" spans="1:12" ht="172.8" x14ac:dyDescent="0.3">
      <c r="A69" t="s">
        <v>447</v>
      </c>
      <c r="B69" t="s">
        <v>448</v>
      </c>
      <c r="C69" t="s">
        <v>449</v>
      </c>
      <c r="D69" s="1" t="s">
        <v>450</v>
      </c>
      <c r="E69" t="s">
        <v>451</v>
      </c>
      <c r="F69" t="s">
        <v>452</v>
      </c>
      <c r="G69" t="s">
        <v>453</v>
      </c>
      <c r="H69" t="s">
        <v>454</v>
      </c>
      <c r="I69" t="s">
        <v>455</v>
      </c>
      <c r="J69" t="s">
        <v>456</v>
      </c>
      <c r="K69" t="s">
        <v>21</v>
      </c>
      <c r="L69" t="s">
        <v>22</v>
      </c>
    </row>
    <row r="70" spans="1:12" ht="244.8" x14ac:dyDescent="0.3">
      <c r="A70" t="s">
        <v>457</v>
      </c>
      <c r="B70" t="s">
        <v>458</v>
      </c>
      <c r="C70" t="s">
        <v>459</v>
      </c>
      <c r="D70" s="1" t="s">
        <v>460</v>
      </c>
      <c r="E70" t="s">
        <v>461</v>
      </c>
      <c r="F70" t="s">
        <v>406</v>
      </c>
      <c r="G70" t="s">
        <v>462</v>
      </c>
      <c r="H70" t="s">
        <v>463</v>
      </c>
      <c r="I70" t="s">
        <v>455</v>
      </c>
      <c r="J70" t="s">
        <v>456</v>
      </c>
      <c r="K70" t="s">
        <v>21</v>
      </c>
      <c r="L70" t="s">
        <v>22</v>
      </c>
    </row>
    <row r="71" spans="1:12" ht="129.6" x14ac:dyDescent="0.3">
      <c r="A71" t="s">
        <v>464</v>
      </c>
      <c r="B71" t="s">
        <v>465</v>
      </c>
      <c r="C71" t="s">
        <v>466</v>
      </c>
      <c r="D71" s="1" t="s">
        <v>467</v>
      </c>
      <c r="E71" t="s">
        <v>468</v>
      </c>
      <c r="F71" t="s">
        <v>406</v>
      </c>
      <c r="G71" t="s">
        <v>462</v>
      </c>
      <c r="H71" t="s">
        <v>469</v>
      </c>
      <c r="I71" t="s">
        <v>455</v>
      </c>
      <c r="J71" t="s">
        <v>456</v>
      </c>
      <c r="K71" t="s">
        <v>21</v>
      </c>
      <c r="L71" t="s">
        <v>22</v>
      </c>
    </row>
    <row r="72" spans="1:12" ht="409.6" x14ac:dyDescent="0.3">
      <c r="A72" t="s">
        <v>470</v>
      </c>
      <c r="B72" t="s">
        <v>471</v>
      </c>
      <c r="C72" t="s">
        <v>472</v>
      </c>
      <c r="D72" s="1" t="s">
        <v>473</v>
      </c>
      <c r="E72" t="s">
        <v>474</v>
      </c>
      <c r="F72" t="s">
        <v>406</v>
      </c>
      <c r="G72" t="s">
        <v>475</v>
      </c>
      <c r="H72" t="s">
        <v>476</v>
      </c>
      <c r="I72" t="s">
        <v>455</v>
      </c>
      <c r="J72" t="s">
        <v>456</v>
      </c>
      <c r="K72" t="s">
        <v>21</v>
      </c>
      <c r="L72" t="s">
        <v>22</v>
      </c>
    </row>
    <row r="73" spans="1:12" ht="158.4" x14ac:dyDescent="0.3">
      <c r="A73" t="s">
        <v>477</v>
      </c>
      <c r="B73" t="s">
        <v>478</v>
      </c>
      <c r="C73" t="s">
        <v>479</v>
      </c>
      <c r="D73" s="1" t="s">
        <v>480</v>
      </c>
      <c r="E73" t="s">
        <v>481</v>
      </c>
      <c r="F73" t="s">
        <v>406</v>
      </c>
      <c r="G73" t="s">
        <v>438</v>
      </c>
      <c r="H73" t="s">
        <v>482</v>
      </c>
      <c r="I73" t="s">
        <v>455</v>
      </c>
      <c r="J73" t="s">
        <v>456</v>
      </c>
      <c r="K73" t="s">
        <v>21</v>
      </c>
      <c r="L73" t="s">
        <v>22</v>
      </c>
    </row>
    <row r="74" spans="1:12" ht="201.6" x14ac:dyDescent="0.3">
      <c r="A74" t="s">
        <v>483</v>
      </c>
      <c r="B74" t="s">
        <v>484</v>
      </c>
      <c r="C74" t="s">
        <v>485</v>
      </c>
      <c r="D74" s="1" t="s">
        <v>486</v>
      </c>
      <c r="E74" t="s">
        <v>461</v>
      </c>
      <c r="F74" t="s">
        <v>406</v>
      </c>
      <c r="G74" t="s">
        <v>462</v>
      </c>
      <c r="H74" t="s">
        <v>487</v>
      </c>
      <c r="I74" t="s">
        <v>488</v>
      </c>
      <c r="J74" t="s">
        <v>489</v>
      </c>
      <c r="K74" t="s">
        <v>21</v>
      </c>
      <c r="L74" t="s">
        <v>22</v>
      </c>
    </row>
    <row r="75" spans="1:12" ht="259.2" x14ac:dyDescent="0.3">
      <c r="A75" t="s">
        <v>490</v>
      </c>
      <c r="B75" t="s">
        <v>491</v>
      </c>
      <c r="C75" t="s">
        <v>492</v>
      </c>
      <c r="D75" s="1" t="s">
        <v>493</v>
      </c>
      <c r="E75" t="s">
        <v>494</v>
      </c>
      <c r="F75" t="s">
        <v>406</v>
      </c>
      <c r="G75" t="s">
        <v>495</v>
      </c>
      <c r="H75" t="s">
        <v>496</v>
      </c>
      <c r="I75" t="s">
        <v>488</v>
      </c>
      <c r="J75" t="s">
        <v>489</v>
      </c>
      <c r="K75" t="s">
        <v>21</v>
      </c>
      <c r="L75" t="s">
        <v>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CCFA7-1689-4F63-ACB9-5C3BFCB65AE6}">
  <dimension ref="A1:N52"/>
  <sheetViews>
    <sheetView topLeftCell="B18" workbookViewId="0">
      <selection activeCell="Q44" sqref="Q44"/>
    </sheetView>
  </sheetViews>
  <sheetFormatPr defaultRowHeight="30" customHeight="1" x14ac:dyDescent="0.3"/>
  <cols>
    <col min="1" max="1" width="0" hidden="1" customWidth="1"/>
    <col min="2" max="2" width="40" customWidth="1"/>
    <col min="3" max="3" width="0" hidden="1" customWidth="1"/>
    <col min="4" max="4" width="32.44140625" hidden="1" customWidth="1"/>
    <col min="5" max="5" width="18.33203125" customWidth="1"/>
    <col min="6" max="6" width="10.44140625" hidden="1" customWidth="1"/>
    <col min="7" max="8" width="24" hidden="1" customWidth="1"/>
    <col min="9" max="9" width="39.33203125" style="1" customWidth="1"/>
    <col min="10" max="11" width="24" hidden="1" customWidth="1"/>
    <col min="12" max="12" width="30.33203125" customWidth="1"/>
  </cols>
  <sheetData>
    <row r="1" spans="1:13" ht="30" customHeight="1" x14ac:dyDescent="0.3">
      <c r="A1" t="s">
        <v>0</v>
      </c>
      <c r="B1" t="s">
        <v>1</v>
      </c>
      <c r="C1" t="s">
        <v>2</v>
      </c>
      <c r="D1" t="s">
        <v>3</v>
      </c>
      <c r="E1" t="s">
        <v>520</v>
      </c>
      <c r="F1" t="s">
        <v>6</v>
      </c>
      <c r="G1" t="s">
        <v>7</v>
      </c>
      <c r="H1" t="s">
        <v>8</v>
      </c>
      <c r="I1" s="1" t="s">
        <v>9</v>
      </c>
      <c r="J1" t="s">
        <v>10</v>
      </c>
      <c r="K1" t="s">
        <v>11</v>
      </c>
    </row>
    <row r="2" spans="1:13" ht="30" customHeight="1" x14ac:dyDescent="0.3">
      <c r="A2" t="s">
        <v>12</v>
      </c>
      <c r="B2" t="s">
        <v>13</v>
      </c>
      <c r="C2" t="s">
        <v>14</v>
      </c>
      <c r="D2" t="s">
        <v>15</v>
      </c>
      <c r="E2" t="s">
        <v>518</v>
      </c>
      <c r="F2" t="s">
        <v>17</v>
      </c>
      <c r="G2" t="s">
        <v>18</v>
      </c>
      <c r="H2" t="s">
        <v>19</v>
      </c>
      <c r="I2" s="4" t="s">
        <v>527</v>
      </c>
      <c r="J2" t="s">
        <v>21</v>
      </c>
      <c r="K2" t="s">
        <v>22</v>
      </c>
    </row>
    <row r="3" spans="1:13" ht="30" customHeight="1" x14ac:dyDescent="0.3">
      <c r="A3" t="s">
        <v>23</v>
      </c>
      <c r="B3" t="s">
        <v>24</v>
      </c>
      <c r="C3" t="s">
        <v>25</v>
      </c>
      <c r="D3" s="1" t="s">
        <v>26</v>
      </c>
      <c r="E3" t="s">
        <v>503</v>
      </c>
      <c r="F3" t="s">
        <v>28</v>
      </c>
      <c r="G3" t="s">
        <v>29</v>
      </c>
      <c r="H3" t="s">
        <v>19</v>
      </c>
      <c r="I3" s="4" t="s">
        <v>527</v>
      </c>
      <c r="J3" t="s">
        <v>21</v>
      </c>
      <c r="K3" t="s">
        <v>22</v>
      </c>
    </row>
    <row r="4" spans="1:13" ht="30" customHeight="1" x14ac:dyDescent="0.3">
      <c r="A4" t="s">
        <v>30</v>
      </c>
      <c r="B4" t="s">
        <v>31</v>
      </c>
      <c r="C4" t="s">
        <v>32</v>
      </c>
      <c r="D4" t="s">
        <v>33</v>
      </c>
      <c r="E4" t="s">
        <v>500</v>
      </c>
      <c r="F4" t="s">
        <v>35</v>
      </c>
      <c r="G4" t="s">
        <v>36</v>
      </c>
      <c r="H4" t="s">
        <v>19</v>
      </c>
      <c r="I4" s="4" t="s">
        <v>527</v>
      </c>
      <c r="J4" t="s">
        <v>21</v>
      </c>
      <c r="K4" t="s">
        <v>22</v>
      </c>
    </row>
    <row r="5" spans="1:13" ht="30" customHeight="1" x14ac:dyDescent="0.3">
      <c r="A5" t="s">
        <v>37</v>
      </c>
      <c r="B5" t="s">
        <v>38</v>
      </c>
      <c r="C5" t="s">
        <v>39</v>
      </c>
      <c r="D5" s="1" t="s">
        <v>40</v>
      </c>
      <c r="E5" t="s">
        <v>505</v>
      </c>
      <c r="F5" t="s">
        <v>35</v>
      </c>
      <c r="G5" t="s">
        <v>42</v>
      </c>
      <c r="H5" t="s">
        <v>19</v>
      </c>
      <c r="I5" s="4" t="s">
        <v>527</v>
      </c>
      <c r="J5" t="s">
        <v>21</v>
      </c>
      <c r="K5" t="s">
        <v>22</v>
      </c>
    </row>
    <row r="6" spans="1:13" ht="30" customHeight="1" x14ac:dyDescent="0.3">
      <c r="A6" t="s">
        <v>43</v>
      </c>
      <c r="B6" t="s">
        <v>44</v>
      </c>
      <c r="C6" t="s">
        <v>45</v>
      </c>
      <c r="D6" s="1" t="s">
        <v>46</v>
      </c>
      <c r="E6" t="s">
        <v>519</v>
      </c>
      <c r="F6" t="s">
        <v>35</v>
      </c>
      <c r="G6" t="s">
        <v>48</v>
      </c>
      <c r="H6" t="s">
        <v>19</v>
      </c>
      <c r="I6" s="4" t="s">
        <v>527</v>
      </c>
      <c r="J6" t="s">
        <v>21</v>
      </c>
      <c r="K6" t="s">
        <v>22</v>
      </c>
    </row>
    <row r="7" spans="1:13" ht="30" customHeight="1" x14ac:dyDescent="0.3">
      <c r="A7" t="s">
        <v>49</v>
      </c>
      <c r="B7" t="s">
        <v>50</v>
      </c>
      <c r="C7" t="s">
        <v>51</v>
      </c>
      <c r="D7" s="1" t="s">
        <v>52</v>
      </c>
      <c r="E7" t="s">
        <v>498</v>
      </c>
      <c r="F7" t="s">
        <v>54</v>
      </c>
      <c r="G7" t="s">
        <v>55</v>
      </c>
      <c r="H7" t="s">
        <v>19</v>
      </c>
      <c r="I7" s="4" t="s">
        <v>527</v>
      </c>
      <c r="J7" t="s">
        <v>21</v>
      </c>
      <c r="K7" t="s">
        <v>22</v>
      </c>
    </row>
    <row r="8" spans="1:13" ht="30" customHeight="1" x14ac:dyDescent="0.3">
      <c r="A8" t="s">
        <v>56</v>
      </c>
      <c r="B8" t="s">
        <v>57</v>
      </c>
      <c r="C8" t="s">
        <v>58</v>
      </c>
      <c r="D8" s="1" t="s">
        <v>59</v>
      </c>
      <c r="E8" t="s">
        <v>505</v>
      </c>
      <c r="F8" t="s">
        <v>61</v>
      </c>
      <c r="G8" t="s">
        <v>62</v>
      </c>
      <c r="H8" t="s">
        <v>19</v>
      </c>
      <c r="I8" s="4" t="s">
        <v>527</v>
      </c>
      <c r="J8" t="s">
        <v>21</v>
      </c>
      <c r="K8" t="s">
        <v>22</v>
      </c>
    </row>
    <row r="9" spans="1:13" ht="30" customHeight="1" x14ac:dyDescent="0.3">
      <c r="A9" t="s">
        <v>63</v>
      </c>
      <c r="B9" t="s">
        <v>64</v>
      </c>
      <c r="C9" t="s">
        <v>65</v>
      </c>
      <c r="D9" s="1" t="s">
        <v>66</v>
      </c>
      <c r="E9" t="s">
        <v>505</v>
      </c>
      <c r="G9" t="s">
        <v>68</v>
      </c>
      <c r="H9" t="s">
        <v>19</v>
      </c>
      <c r="I9" s="4" t="s">
        <v>527</v>
      </c>
      <c r="J9" t="s">
        <v>21</v>
      </c>
      <c r="K9" t="s">
        <v>22</v>
      </c>
    </row>
    <row r="10" spans="1:13" ht="30" customHeight="1" x14ac:dyDescent="0.3">
      <c r="A10" t="s">
        <v>69</v>
      </c>
      <c r="B10" t="s">
        <v>70</v>
      </c>
      <c r="C10" t="s">
        <v>71</v>
      </c>
      <c r="D10" s="1" t="s">
        <v>72</v>
      </c>
      <c r="E10" t="s">
        <v>500</v>
      </c>
      <c r="F10" t="s">
        <v>74</v>
      </c>
      <c r="G10" t="s">
        <v>75</v>
      </c>
      <c r="H10" t="s">
        <v>19</v>
      </c>
      <c r="I10" s="4" t="s">
        <v>527</v>
      </c>
      <c r="J10" t="s">
        <v>21</v>
      </c>
      <c r="K10" t="s">
        <v>22</v>
      </c>
    </row>
    <row r="11" spans="1:13" ht="30" customHeight="1" x14ac:dyDescent="0.3">
      <c r="A11" t="s">
        <v>76</v>
      </c>
      <c r="B11" t="s">
        <v>77</v>
      </c>
      <c r="C11" t="s">
        <v>78</v>
      </c>
      <c r="D11" s="1" t="s">
        <v>79</v>
      </c>
      <c r="E11" t="s">
        <v>498</v>
      </c>
      <c r="F11" t="s">
        <v>81</v>
      </c>
      <c r="G11" t="s">
        <v>82</v>
      </c>
      <c r="H11" t="s">
        <v>19</v>
      </c>
      <c r="I11" s="4" t="s">
        <v>527</v>
      </c>
      <c r="J11" t="s">
        <v>21</v>
      </c>
      <c r="K11" t="s">
        <v>22</v>
      </c>
    </row>
    <row r="12" spans="1:13" ht="30" customHeight="1" x14ac:dyDescent="0.3">
      <c r="A12" t="s">
        <v>83</v>
      </c>
      <c r="B12" t="s">
        <v>84</v>
      </c>
      <c r="C12" t="s">
        <v>85</v>
      </c>
      <c r="D12" s="1" t="s">
        <v>86</v>
      </c>
      <c r="E12" t="s">
        <v>500</v>
      </c>
      <c r="F12" t="s">
        <v>88</v>
      </c>
      <c r="G12" t="s">
        <v>89</v>
      </c>
      <c r="H12" t="s">
        <v>19</v>
      </c>
      <c r="I12" s="4" t="s">
        <v>527</v>
      </c>
      <c r="J12" t="s">
        <v>21</v>
      </c>
      <c r="K12" t="s">
        <v>22</v>
      </c>
      <c r="M12">
        <v>11</v>
      </c>
    </row>
    <row r="13" spans="1:13" ht="30" customHeight="1" x14ac:dyDescent="0.3">
      <c r="A13" t="s">
        <v>114</v>
      </c>
      <c r="B13" t="s">
        <v>115</v>
      </c>
      <c r="C13" t="s">
        <v>116</v>
      </c>
      <c r="D13" t="s">
        <v>117</v>
      </c>
      <c r="E13" t="s">
        <v>500</v>
      </c>
      <c r="F13" t="s">
        <v>120</v>
      </c>
      <c r="G13" t="s">
        <v>121</v>
      </c>
      <c r="H13" t="s">
        <v>122</v>
      </c>
      <c r="I13" s="1" t="s">
        <v>528</v>
      </c>
      <c r="J13" t="s">
        <v>21</v>
      </c>
      <c r="K13" t="s">
        <v>22</v>
      </c>
      <c r="L13" s="8" t="s">
        <v>515</v>
      </c>
    </row>
    <row r="14" spans="1:13" ht="30" customHeight="1" x14ac:dyDescent="0.3">
      <c r="A14" t="s">
        <v>124</v>
      </c>
      <c r="B14" t="s">
        <v>125</v>
      </c>
      <c r="C14" t="s">
        <v>126</v>
      </c>
      <c r="D14" s="1" t="s">
        <v>127</v>
      </c>
      <c r="E14" t="s">
        <v>541</v>
      </c>
      <c r="F14" t="s">
        <v>129</v>
      </c>
      <c r="G14" t="s">
        <v>130</v>
      </c>
      <c r="H14" t="s">
        <v>131</v>
      </c>
      <c r="I14" s="1" t="s">
        <v>529</v>
      </c>
      <c r="J14" t="s">
        <v>21</v>
      </c>
      <c r="K14" t="s">
        <v>22</v>
      </c>
      <c r="L14" t="s">
        <v>542</v>
      </c>
    </row>
    <row r="15" spans="1:13" ht="30" customHeight="1" x14ac:dyDescent="0.3">
      <c r="A15" t="s">
        <v>154</v>
      </c>
      <c r="B15" t="s">
        <v>155</v>
      </c>
      <c r="C15" t="s">
        <v>156</v>
      </c>
      <c r="D15" s="1" t="s">
        <v>157</v>
      </c>
      <c r="E15" t="s">
        <v>503</v>
      </c>
      <c r="F15" t="s">
        <v>159</v>
      </c>
      <c r="G15" t="s">
        <v>160</v>
      </c>
      <c r="H15" t="s">
        <v>161</v>
      </c>
      <c r="I15" s="1" t="s">
        <v>530</v>
      </c>
      <c r="J15" t="s">
        <v>21</v>
      </c>
      <c r="K15" t="s">
        <v>22</v>
      </c>
      <c r="L15" t="s">
        <v>511</v>
      </c>
    </row>
    <row r="16" spans="1:13" ht="30" customHeight="1" x14ac:dyDescent="0.3">
      <c r="A16" t="s">
        <v>163</v>
      </c>
      <c r="B16" t="s">
        <v>164</v>
      </c>
      <c r="C16" t="s">
        <v>165</v>
      </c>
      <c r="D16" s="1" t="s">
        <v>166</v>
      </c>
      <c r="E16" t="s">
        <v>510</v>
      </c>
      <c r="F16" t="s">
        <v>137</v>
      </c>
      <c r="G16" t="s">
        <v>168</v>
      </c>
      <c r="H16" t="s">
        <v>161</v>
      </c>
      <c r="I16" s="1" t="s">
        <v>530</v>
      </c>
      <c r="J16" t="s">
        <v>21</v>
      </c>
      <c r="K16" t="s">
        <v>22</v>
      </c>
      <c r="L16" s="8" t="s">
        <v>513</v>
      </c>
    </row>
    <row r="17" spans="1:13" ht="30" customHeight="1" x14ac:dyDescent="0.3">
      <c r="A17" t="s">
        <v>169</v>
      </c>
      <c r="B17" t="s">
        <v>170</v>
      </c>
      <c r="C17" t="s">
        <v>171</v>
      </c>
      <c r="D17" s="1" t="s">
        <v>172</v>
      </c>
      <c r="E17" t="s">
        <v>500</v>
      </c>
      <c r="F17" t="s">
        <v>137</v>
      </c>
      <c r="G17" t="s">
        <v>174</v>
      </c>
      <c r="H17" t="s">
        <v>161</v>
      </c>
      <c r="I17" s="1" t="s">
        <v>530</v>
      </c>
      <c r="J17" t="s">
        <v>21</v>
      </c>
      <c r="K17" t="s">
        <v>22</v>
      </c>
      <c r="L17" t="s">
        <v>514</v>
      </c>
    </row>
    <row r="18" spans="1:13" ht="30" customHeight="1" x14ac:dyDescent="0.3">
      <c r="A18" t="s">
        <v>175</v>
      </c>
      <c r="B18" t="s">
        <v>176</v>
      </c>
      <c r="C18" t="s">
        <v>177</v>
      </c>
      <c r="D18" s="1" t="s">
        <v>178</v>
      </c>
      <c r="E18" t="s">
        <v>508</v>
      </c>
      <c r="F18" t="s">
        <v>180</v>
      </c>
      <c r="G18" t="s">
        <v>181</v>
      </c>
      <c r="H18" t="s">
        <v>161</v>
      </c>
      <c r="I18" s="1" t="s">
        <v>530</v>
      </c>
      <c r="J18" t="s">
        <v>21</v>
      </c>
      <c r="K18" t="s">
        <v>22</v>
      </c>
      <c r="L18" t="s">
        <v>517</v>
      </c>
    </row>
    <row r="19" spans="1:13" ht="30" customHeight="1" x14ac:dyDescent="0.3">
      <c r="A19" t="s">
        <v>193</v>
      </c>
      <c r="B19" t="s">
        <v>194</v>
      </c>
      <c r="C19" t="s">
        <v>195</v>
      </c>
      <c r="D19" s="1" t="s">
        <v>196</v>
      </c>
      <c r="E19" t="s">
        <v>504</v>
      </c>
      <c r="F19" t="s">
        <v>137</v>
      </c>
      <c r="G19" t="s">
        <v>198</v>
      </c>
      <c r="H19" t="s">
        <v>161</v>
      </c>
      <c r="I19" s="1" t="s">
        <v>530</v>
      </c>
      <c r="J19" t="s">
        <v>21</v>
      </c>
      <c r="K19" t="s">
        <v>22</v>
      </c>
      <c r="L19" t="s">
        <v>517</v>
      </c>
    </row>
    <row r="20" spans="1:13" ht="30" customHeight="1" x14ac:dyDescent="0.3">
      <c r="A20" t="s">
        <v>199</v>
      </c>
      <c r="B20" t="s">
        <v>200</v>
      </c>
      <c r="C20" t="s">
        <v>201</v>
      </c>
      <c r="D20" s="1" t="s">
        <v>202</v>
      </c>
      <c r="E20" t="s">
        <v>508</v>
      </c>
      <c r="F20" t="s">
        <v>204</v>
      </c>
      <c r="G20" t="s">
        <v>205</v>
      </c>
      <c r="H20" t="s">
        <v>161</v>
      </c>
      <c r="I20" s="1" t="s">
        <v>530</v>
      </c>
      <c r="J20" t="s">
        <v>21</v>
      </c>
      <c r="K20" t="s">
        <v>22</v>
      </c>
      <c r="L20" t="s">
        <v>516</v>
      </c>
    </row>
    <row r="21" spans="1:13" ht="30" customHeight="1" x14ac:dyDescent="0.3">
      <c r="A21" t="s">
        <v>215</v>
      </c>
      <c r="B21" t="s">
        <v>216</v>
      </c>
      <c r="C21" t="s">
        <v>217</v>
      </c>
      <c r="D21" s="1" t="s">
        <v>218</v>
      </c>
      <c r="E21" t="s">
        <v>512</v>
      </c>
      <c r="F21" t="s">
        <v>220</v>
      </c>
      <c r="G21" t="s">
        <v>221</v>
      </c>
      <c r="H21" t="s">
        <v>213</v>
      </c>
      <c r="I21" s="1" t="s">
        <v>531</v>
      </c>
      <c r="J21" t="s">
        <v>21</v>
      </c>
      <c r="K21" t="s">
        <v>22</v>
      </c>
      <c r="L21" t="s">
        <v>509</v>
      </c>
    </row>
    <row r="22" spans="1:13" ht="30" customHeight="1" x14ac:dyDescent="0.3">
      <c r="A22" t="s">
        <v>206</v>
      </c>
      <c r="B22" t="s">
        <v>207</v>
      </c>
      <c r="C22" t="s">
        <v>208</v>
      </c>
      <c r="D22" s="1" t="s">
        <v>209</v>
      </c>
      <c r="E22" t="s">
        <v>506</v>
      </c>
      <c r="F22" t="s">
        <v>211</v>
      </c>
      <c r="G22" t="s">
        <v>212</v>
      </c>
      <c r="H22" t="s">
        <v>213</v>
      </c>
      <c r="I22" s="1" t="s">
        <v>531</v>
      </c>
      <c r="J22" t="s">
        <v>21</v>
      </c>
      <c r="K22" t="s">
        <v>22</v>
      </c>
      <c r="L22" t="s">
        <v>507</v>
      </c>
    </row>
    <row r="23" spans="1:13" ht="30" customHeight="1" x14ac:dyDescent="0.3">
      <c r="A23" t="s">
        <v>222</v>
      </c>
      <c r="B23" t="s">
        <v>223</v>
      </c>
      <c r="C23" t="s">
        <v>224</v>
      </c>
      <c r="D23" s="1" t="s">
        <v>225</v>
      </c>
      <c r="E23" t="s">
        <v>506</v>
      </c>
      <c r="F23" t="s">
        <v>227</v>
      </c>
      <c r="G23" t="s">
        <v>228</v>
      </c>
      <c r="H23" t="s">
        <v>213</v>
      </c>
      <c r="I23" s="1" t="s">
        <v>531</v>
      </c>
      <c r="J23" t="s">
        <v>21</v>
      </c>
      <c r="K23" t="s">
        <v>22</v>
      </c>
      <c r="L23" t="s">
        <v>507</v>
      </c>
    </row>
    <row r="24" spans="1:13" ht="30" customHeight="1" x14ac:dyDescent="0.3">
      <c r="A24" t="s">
        <v>229</v>
      </c>
      <c r="B24" t="s">
        <v>230</v>
      </c>
      <c r="C24" t="s">
        <v>231</v>
      </c>
      <c r="D24" s="1" t="s">
        <v>232</v>
      </c>
      <c r="E24" t="s">
        <v>506</v>
      </c>
      <c r="F24" t="s">
        <v>211</v>
      </c>
      <c r="G24" t="s">
        <v>233</v>
      </c>
      <c r="H24" t="s">
        <v>213</v>
      </c>
      <c r="I24" s="1" t="s">
        <v>531</v>
      </c>
      <c r="J24" t="s">
        <v>21</v>
      </c>
      <c r="K24" t="s">
        <v>22</v>
      </c>
      <c r="L24" t="s">
        <v>507</v>
      </c>
    </row>
    <row r="25" spans="1:13" ht="30" customHeight="1" x14ac:dyDescent="0.3">
      <c r="A25" t="s">
        <v>241</v>
      </c>
      <c r="B25" t="s">
        <v>242</v>
      </c>
      <c r="C25" t="s">
        <v>243</v>
      </c>
      <c r="D25" s="1" t="s">
        <v>244</v>
      </c>
      <c r="E25" t="s">
        <v>506</v>
      </c>
      <c r="F25" t="s">
        <v>211</v>
      </c>
      <c r="G25" t="s">
        <v>245</v>
      </c>
      <c r="H25" t="s">
        <v>213</v>
      </c>
      <c r="I25" s="1" t="s">
        <v>531</v>
      </c>
      <c r="J25" t="s">
        <v>21</v>
      </c>
      <c r="K25" t="s">
        <v>22</v>
      </c>
      <c r="L25" t="s">
        <v>507</v>
      </c>
    </row>
    <row r="26" spans="1:13" ht="30" customHeight="1" x14ac:dyDescent="0.3">
      <c r="A26" t="s">
        <v>234</v>
      </c>
      <c r="B26" t="s">
        <v>235</v>
      </c>
      <c r="C26" t="s">
        <v>236</v>
      </c>
      <c r="D26" s="1" t="s">
        <v>237</v>
      </c>
      <c r="E26" t="s">
        <v>500</v>
      </c>
      <c r="F26" t="s">
        <v>239</v>
      </c>
      <c r="G26" t="s">
        <v>240</v>
      </c>
      <c r="H26" t="s">
        <v>213</v>
      </c>
      <c r="I26" s="1" t="s">
        <v>531</v>
      </c>
      <c r="J26" t="s">
        <v>21</v>
      </c>
      <c r="K26" t="s">
        <v>22</v>
      </c>
    </row>
    <row r="27" spans="1:13" ht="30" customHeight="1" x14ac:dyDescent="0.3">
      <c r="A27" t="s">
        <v>246</v>
      </c>
      <c r="B27" t="s">
        <v>247</v>
      </c>
      <c r="C27" t="s">
        <v>248</v>
      </c>
      <c r="D27" s="1" t="s">
        <v>249</v>
      </c>
      <c r="E27" t="s">
        <v>500</v>
      </c>
      <c r="F27" t="s">
        <v>180</v>
      </c>
      <c r="G27" t="s">
        <v>251</v>
      </c>
      <c r="H27" t="s">
        <v>213</v>
      </c>
      <c r="I27" s="1" t="s">
        <v>531</v>
      </c>
      <c r="J27" t="s">
        <v>21</v>
      </c>
      <c r="K27" t="s">
        <v>22</v>
      </c>
    </row>
    <row r="28" spans="1:13" ht="30" customHeight="1" x14ac:dyDescent="0.3">
      <c r="A28" t="s">
        <v>252</v>
      </c>
      <c r="B28" t="s">
        <v>253</v>
      </c>
      <c r="C28" t="s">
        <v>254</v>
      </c>
      <c r="D28" s="1" t="s">
        <v>255</v>
      </c>
      <c r="E28" t="s">
        <v>500</v>
      </c>
      <c r="F28" t="s">
        <v>257</v>
      </c>
      <c r="G28" t="s">
        <v>258</v>
      </c>
      <c r="H28" t="s">
        <v>259</v>
      </c>
      <c r="I28" s="1" t="s">
        <v>532</v>
      </c>
      <c r="J28" t="s">
        <v>21</v>
      </c>
      <c r="K28" t="s">
        <v>22</v>
      </c>
    </row>
    <row r="29" spans="1:13" ht="30" customHeight="1" x14ac:dyDescent="0.3">
      <c r="A29" t="s">
        <v>261</v>
      </c>
      <c r="B29" s="3" t="s">
        <v>262</v>
      </c>
      <c r="C29" t="s">
        <v>263</v>
      </c>
      <c r="D29" s="1" t="s">
        <v>264</v>
      </c>
      <c r="E29" t="s">
        <v>500</v>
      </c>
      <c r="F29" t="s">
        <v>265</v>
      </c>
      <c r="G29" t="s">
        <v>266</v>
      </c>
      <c r="H29" t="s">
        <v>259</v>
      </c>
      <c r="I29" s="1" t="s">
        <v>532</v>
      </c>
      <c r="J29" t="s">
        <v>21</v>
      </c>
      <c r="K29" t="s">
        <v>22</v>
      </c>
      <c r="L29" t="s">
        <v>502</v>
      </c>
    </row>
    <row r="30" spans="1:13" ht="30" customHeight="1" x14ac:dyDescent="0.3">
      <c r="A30" t="s">
        <v>329</v>
      </c>
      <c r="B30" t="s">
        <v>330</v>
      </c>
      <c r="C30" t="s">
        <v>331</v>
      </c>
      <c r="D30" s="1" t="s">
        <v>332</v>
      </c>
      <c r="E30" t="s">
        <v>501</v>
      </c>
      <c r="F30" t="s">
        <v>211</v>
      </c>
      <c r="G30" t="s">
        <v>334</v>
      </c>
      <c r="H30" t="s">
        <v>335</v>
      </c>
      <c r="I30" s="7" t="s">
        <v>533</v>
      </c>
      <c r="J30" t="s">
        <v>21</v>
      </c>
      <c r="K30" t="s">
        <v>22</v>
      </c>
    </row>
    <row r="31" spans="1:13" ht="30" customHeight="1" x14ac:dyDescent="0.3">
      <c r="A31" t="s">
        <v>342</v>
      </c>
      <c r="B31" t="s">
        <v>343</v>
      </c>
      <c r="C31" t="s">
        <v>344</v>
      </c>
      <c r="D31" s="1" t="s">
        <v>345</v>
      </c>
      <c r="E31" t="s">
        <v>500</v>
      </c>
      <c r="F31" t="s">
        <v>347</v>
      </c>
      <c r="G31" t="s">
        <v>348</v>
      </c>
      <c r="H31" t="s">
        <v>335</v>
      </c>
      <c r="I31" s="7" t="s">
        <v>533</v>
      </c>
      <c r="J31" t="s">
        <v>21</v>
      </c>
      <c r="K31" t="s">
        <v>22</v>
      </c>
      <c r="L31" t="s">
        <v>543</v>
      </c>
      <c r="M31">
        <v>2</v>
      </c>
    </row>
    <row r="32" spans="1:13" ht="30" customHeight="1" x14ac:dyDescent="0.3">
      <c r="A32" t="s">
        <v>363</v>
      </c>
      <c r="B32" t="s">
        <v>364</v>
      </c>
      <c r="C32" t="s">
        <v>365</v>
      </c>
      <c r="D32" s="1" t="s">
        <v>366</v>
      </c>
      <c r="E32" t="s">
        <v>506</v>
      </c>
      <c r="F32" t="s">
        <v>368</v>
      </c>
      <c r="G32" t="s">
        <v>369</v>
      </c>
      <c r="H32" t="s">
        <v>370</v>
      </c>
      <c r="I32" s="1" t="s">
        <v>534</v>
      </c>
      <c r="J32" t="s">
        <v>21</v>
      </c>
      <c r="K32" t="s">
        <v>22</v>
      </c>
      <c r="L32" t="s">
        <v>521</v>
      </c>
      <c r="M32">
        <v>1</v>
      </c>
    </row>
    <row r="33" spans="1:14" ht="30" customHeight="1" x14ac:dyDescent="0.3">
      <c r="A33" t="s">
        <v>372</v>
      </c>
      <c r="B33" t="s">
        <v>373</v>
      </c>
      <c r="C33" t="s">
        <v>374</v>
      </c>
      <c r="D33" s="1" t="s">
        <v>375</v>
      </c>
      <c r="E33" t="s">
        <v>498</v>
      </c>
      <c r="F33" t="s">
        <v>137</v>
      </c>
      <c r="G33" t="s">
        <v>377</v>
      </c>
      <c r="H33" t="s">
        <v>378</v>
      </c>
      <c r="I33" s="6" t="s">
        <v>535</v>
      </c>
      <c r="J33" t="s">
        <v>21</v>
      </c>
      <c r="K33" t="s">
        <v>22</v>
      </c>
      <c r="L33" t="s">
        <v>499</v>
      </c>
      <c r="N33" t="s">
        <v>540</v>
      </c>
    </row>
    <row r="34" spans="1:14" ht="30" customHeight="1" x14ac:dyDescent="0.3">
      <c r="A34" t="s">
        <v>380</v>
      </c>
      <c r="B34" t="s">
        <v>381</v>
      </c>
      <c r="C34" t="s">
        <v>382</v>
      </c>
      <c r="D34" s="1" t="s">
        <v>383</v>
      </c>
      <c r="E34" t="s">
        <v>498</v>
      </c>
      <c r="F34" t="s">
        <v>137</v>
      </c>
      <c r="G34" t="s">
        <v>385</v>
      </c>
      <c r="H34" t="s">
        <v>378</v>
      </c>
      <c r="I34" s="6" t="s">
        <v>535</v>
      </c>
      <c r="J34" t="s">
        <v>21</v>
      </c>
      <c r="K34" t="s">
        <v>22</v>
      </c>
      <c r="L34" t="s">
        <v>499</v>
      </c>
      <c r="N34" t="s">
        <v>540</v>
      </c>
    </row>
    <row r="35" spans="1:14" ht="30" customHeight="1" x14ac:dyDescent="0.3">
      <c r="A35" t="s">
        <v>386</v>
      </c>
      <c r="B35" t="s">
        <v>387</v>
      </c>
      <c r="C35" t="s">
        <v>388</v>
      </c>
      <c r="D35" s="1" t="s">
        <v>389</v>
      </c>
      <c r="E35" t="s">
        <v>498</v>
      </c>
      <c r="F35" t="s">
        <v>137</v>
      </c>
      <c r="G35" t="s">
        <v>390</v>
      </c>
      <c r="H35" t="s">
        <v>378</v>
      </c>
      <c r="I35" s="6" t="s">
        <v>535</v>
      </c>
      <c r="J35" t="s">
        <v>21</v>
      </c>
      <c r="K35" t="s">
        <v>22</v>
      </c>
      <c r="L35" t="s">
        <v>499</v>
      </c>
      <c r="M35">
        <v>3</v>
      </c>
      <c r="N35" t="s">
        <v>540</v>
      </c>
    </row>
    <row r="36" spans="1:14" ht="30" customHeight="1" x14ac:dyDescent="0.3">
      <c r="A36" t="s">
        <v>391</v>
      </c>
      <c r="B36" t="s">
        <v>392</v>
      </c>
      <c r="C36" t="s">
        <v>393</v>
      </c>
      <c r="D36" s="1" t="s">
        <v>394</v>
      </c>
      <c r="E36" t="s">
        <v>524</v>
      </c>
      <c r="F36" t="s">
        <v>397</v>
      </c>
      <c r="G36" t="s">
        <v>398</v>
      </c>
      <c r="H36" t="s">
        <v>399</v>
      </c>
      <c r="I36" s="5" t="s">
        <v>536</v>
      </c>
      <c r="J36" t="s">
        <v>21</v>
      </c>
      <c r="K36" t="s">
        <v>22</v>
      </c>
    </row>
    <row r="37" spans="1:14" ht="30" customHeight="1" x14ac:dyDescent="0.3">
      <c r="A37" t="s">
        <v>401</v>
      </c>
      <c r="B37" t="s">
        <v>402</v>
      </c>
      <c r="C37" t="s">
        <v>403</v>
      </c>
      <c r="D37" s="1" t="s">
        <v>404</v>
      </c>
      <c r="E37" t="s">
        <v>524</v>
      </c>
      <c r="F37" t="s">
        <v>159</v>
      </c>
      <c r="G37" t="s">
        <v>407</v>
      </c>
      <c r="H37" t="s">
        <v>399</v>
      </c>
      <c r="I37" s="5" t="s">
        <v>536</v>
      </c>
      <c r="J37" t="s">
        <v>21</v>
      </c>
      <c r="K37" t="s">
        <v>22</v>
      </c>
    </row>
    <row r="38" spans="1:14" ht="30" customHeight="1" x14ac:dyDescent="0.3">
      <c r="A38" t="s">
        <v>408</v>
      </c>
      <c r="B38" t="s">
        <v>409</v>
      </c>
      <c r="C38" t="s">
        <v>410</v>
      </c>
      <c r="D38" s="1" t="s">
        <v>411</v>
      </c>
      <c r="E38" t="s">
        <v>524</v>
      </c>
      <c r="F38" t="s">
        <v>204</v>
      </c>
      <c r="G38" t="s">
        <v>412</v>
      </c>
      <c r="H38" t="s">
        <v>399</v>
      </c>
      <c r="I38" s="5" t="s">
        <v>536</v>
      </c>
      <c r="J38" t="s">
        <v>21</v>
      </c>
      <c r="K38" t="s">
        <v>22</v>
      </c>
    </row>
    <row r="39" spans="1:14" ht="30" customHeight="1" x14ac:dyDescent="0.3">
      <c r="A39" t="s">
        <v>413</v>
      </c>
      <c r="B39" t="s">
        <v>414</v>
      </c>
      <c r="C39" t="s">
        <v>415</v>
      </c>
      <c r="D39" s="1" t="s">
        <v>416</v>
      </c>
      <c r="E39" t="s">
        <v>524</v>
      </c>
      <c r="F39" t="s">
        <v>159</v>
      </c>
      <c r="G39" t="s">
        <v>417</v>
      </c>
      <c r="H39" t="s">
        <v>399</v>
      </c>
      <c r="I39" s="5" t="s">
        <v>536</v>
      </c>
      <c r="J39" t="s">
        <v>21</v>
      </c>
      <c r="K39" t="s">
        <v>22</v>
      </c>
    </row>
    <row r="40" spans="1:14" ht="30" customHeight="1" x14ac:dyDescent="0.3">
      <c r="A40" t="s">
        <v>418</v>
      </c>
      <c r="B40" t="s">
        <v>419</v>
      </c>
      <c r="C40" t="s">
        <v>420</v>
      </c>
      <c r="D40" s="1" t="s">
        <v>421</v>
      </c>
      <c r="E40" t="s">
        <v>524</v>
      </c>
      <c r="F40" t="s">
        <v>159</v>
      </c>
      <c r="G40" t="s">
        <v>422</v>
      </c>
      <c r="H40" t="s">
        <v>399</v>
      </c>
      <c r="I40" s="5" t="s">
        <v>536</v>
      </c>
      <c r="J40" t="s">
        <v>21</v>
      </c>
      <c r="K40" t="s">
        <v>22</v>
      </c>
    </row>
    <row r="41" spans="1:14" ht="30" customHeight="1" x14ac:dyDescent="0.3">
      <c r="A41" t="s">
        <v>423</v>
      </c>
      <c r="B41" t="s">
        <v>424</v>
      </c>
      <c r="C41" t="s">
        <v>425</v>
      </c>
      <c r="D41" t="s">
        <v>426</v>
      </c>
      <c r="E41" t="s">
        <v>524</v>
      </c>
      <c r="F41" t="s">
        <v>159</v>
      </c>
      <c r="G41" t="s">
        <v>427</v>
      </c>
      <c r="H41" t="s">
        <v>399</v>
      </c>
      <c r="I41" s="5" t="s">
        <v>536</v>
      </c>
      <c r="J41" t="s">
        <v>21</v>
      </c>
      <c r="K41" t="s">
        <v>22</v>
      </c>
    </row>
    <row r="42" spans="1:14" ht="30" customHeight="1" x14ac:dyDescent="0.3">
      <c r="A42" t="s">
        <v>428</v>
      </c>
      <c r="B42" t="s">
        <v>429</v>
      </c>
      <c r="C42" t="s">
        <v>430</v>
      </c>
      <c r="D42" s="1" t="s">
        <v>431</v>
      </c>
      <c r="E42" t="s">
        <v>524</v>
      </c>
      <c r="F42" t="s">
        <v>159</v>
      </c>
      <c r="G42" t="s">
        <v>432</v>
      </c>
      <c r="H42" t="s">
        <v>399</v>
      </c>
      <c r="I42" s="5" t="s">
        <v>536</v>
      </c>
      <c r="J42" t="s">
        <v>21</v>
      </c>
      <c r="K42" t="s">
        <v>22</v>
      </c>
    </row>
    <row r="43" spans="1:14" ht="30" customHeight="1" x14ac:dyDescent="0.3">
      <c r="A43" t="s">
        <v>440</v>
      </c>
      <c r="B43" t="s">
        <v>441</v>
      </c>
      <c r="C43" t="s">
        <v>442</v>
      </c>
      <c r="D43" s="1" t="s">
        <v>443</v>
      </c>
      <c r="E43" t="s">
        <v>524</v>
      </c>
      <c r="F43" t="s">
        <v>445</v>
      </c>
      <c r="G43" t="s">
        <v>446</v>
      </c>
      <c r="H43" t="s">
        <v>399</v>
      </c>
      <c r="I43" s="5" t="s">
        <v>536</v>
      </c>
      <c r="J43" t="s">
        <v>21</v>
      </c>
      <c r="K43" t="s">
        <v>22</v>
      </c>
      <c r="M43">
        <v>9</v>
      </c>
    </row>
    <row r="44" spans="1:14" ht="30" customHeight="1" x14ac:dyDescent="0.3">
      <c r="A44" t="s">
        <v>447</v>
      </c>
      <c r="B44" t="s">
        <v>448</v>
      </c>
      <c r="C44" t="s">
        <v>449</v>
      </c>
      <c r="D44" s="1" t="s">
        <v>450</v>
      </c>
      <c r="E44" t="s">
        <v>524</v>
      </c>
      <c r="F44" t="s">
        <v>453</v>
      </c>
      <c r="G44" t="s">
        <v>454</v>
      </c>
      <c r="H44" t="s">
        <v>455</v>
      </c>
      <c r="I44" s="5" t="s">
        <v>537</v>
      </c>
      <c r="J44" t="s">
        <v>21</v>
      </c>
      <c r="K44" t="s">
        <v>22</v>
      </c>
    </row>
    <row r="45" spans="1:14" ht="30" customHeight="1" x14ac:dyDescent="0.3">
      <c r="A45" t="s">
        <v>464</v>
      </c>
      <c r="B45" t="s">
        <v>465</v>
      </c>
      <c r="C45" t="s">
        <v>466</v>
      </c>
      <c r="D45" s="1" t="s">
        <v>467</v>
      </c>
      <c r="E45" t="s">
        <v>524</v>
      </c>
      <c r="F45" t="s">
        <v>462</v>
      </c>
      <c r="G45" t="s">
        <v>469</v>
      </c>
      <c r="H45" t="s">
        <v>455</v>
      </c>
      <c r="I45" s="5" t="s">
        <v>537</v>
      </c>
      <c r="J45" t="s">
        <v>21</v>
      </c>
      <c r="K45" t="s">
        <v>22</v>
      </c>
    </row>
    <row r="46" spans="1:14" ht="30" customHeight="1" x14ac:dyDescent="0.3">
      <c r="A46" t="s">
        <v>477</v>
      </c>
      <c r="B46" t="s">
        <v>478</v>
      </c>
      <c r="C46" t="s">
        <v>479</v>
      </c>
      <c r="D46" s="1" t="s">
        <v>480</v>
      </c>
      <c r="E46" t="s">
        <v>524</v>
      </c>
      <c r="F46" t="s">
        <v>438</v>
      </c>
      <c r="G46" t="s">
        <v>482</v>
      </c>
      <c r="H46" t="s">
        <v>455</v>
      </c>
      <c r="I46" s="5" t="s">
        <v>537</v>
      </c>
      <c r="J46" t="s">
        <v>21</v>
      </c>
      <c r="K46" t="s">
        <v>22</v>
      </c>
      <c r="M46">
        <v>5</v>
      </c>
    </row>
    <row r="47" spans="1:14" ht="30" customHeight="1" x14ac:dyDescent="0.3">
      <c r="A47" t="s">
        <v>483</v>
      </c>
      <c r="B47" t="s">
        <v>484</v>
      </c>
      <c r="C47" t="s">
        <v>485</v>
      </c>
      <c r="D47" s="1" t="s">
        <v>486</v>
      </c>
      <c r="E47" t="s">
        <v>524</v>
      </c>
      <c r="F47" t="s">
        <v>462</v>
      </c>
      <c r="G47" t="s">
        <v>487</v>
      </c>
      <c r="H47" t="s">
        <v>488</v>
      </c>
      <c r="I47" s="5" t="s">
        <v>538</v>
      </c>
      <c r="J47" t="s">
        <v>21</v>
      </c>
      <c r="K47" t="s">
        <v>22</v>
      </c>
    </row>
    <row r="48" spans="1:14" ht="30" customHeight="1" x14ac:dyDescent="0.3">
      <c r="A48" t="s">
        <v>490</v>
      </c>
      <c r="B48" t="s">
        <v>491</v>
      </c>
      <c r="C48" t="s">
        <v>492</v>
      </c>
      <c r="D48" s="1" t="s">
        <v>493</v>
      </c>
      <c r="E48" t="s">
        <v>524</v>
      </c>
      <c r="F48" t="s">
        <v>495</v>
      </c>
      <c r="G48" t="s">
        <v>496</v>
      </c>
      <c r="H48" t="s">
        <v>488</v>
      </c>
      <c r="I48" s="5" t="s">
        <v>538</v>
      </c>
      <c r="J48" t="s">
        <v>21</v>
      </c>
      <c r="K48" t="s">
        <v>22</v>
      </c>
      <c r="M48">
        <v>2</v>
      </c>
    </row>
    <row r="49" spans="1:11" ht="30" customHeight="1" x14ac:dyDescent="0.3">
      <c r="A49" t="s">
        <v>433</v>
      </c>
      <c r="B49" t="s">
        <v>434</v>
      </c>
      <c r="C49" t="s">
        <v>435</v>
      </c>
      <c r="D49" s="1" t="s">
        <v>436</v>
      </c>
      <c r="E49" t="s">
        <v>524</v>
      </c>
      <c r="F49" t="s">
        <v>438</v>
      </c>
      <c r="G49" t="s">
        <v>439</v>
      </c>
      <c r="H49" t="s">
        <v>399</v>
      </c>
      <c r="I49" s="36" t="s">
        <v>563</v>
      </c>
      <c r="J49" t="s">
        <v>21</v>
      </c>
      <c r="K49" t="s">
        <v>22</v>
      </c>
    </row>
    <row r="50" spans="1:11" ht="30" customHeight="1" x14ac:dyDescent="0.3">
      <c r="A50" t="s">
        <v>457</v>
      </c>
      <c r="B50" t="s">
        <v>458</v>
      </c>
      <c r="C50" t="s">
        <v>459</v>
      </c>
      <c r="D50" s="1" t="s">
        <v>460</v>
      </c>
      <c r="E50" t="s">
        <v>524</v>
      </c>
      <c r="F50" t="s">
        <v>462</v>
      </c>
      <c r="G50" t="s">
        <v>463</v>
      </c>
      <c r="H50" t="s">
        <v>455</v>
      </c>
      <c r="I50" s="36" t="s">
        <v>563</v>
      </c>
      <c r="J50" t="s">
        <v>21</v>
      </c>
      <c r="K50" t="s">
        <v>22</v>
      </c>
    </row>
    <row r="51" spans="1:11" ht="30" customHeight="1" x14ac:dyDescent="0.3">
      <c r="A51" t="s">
        <v>470</v>
      </c>
      <c r="B51" t="s">
        <v>471</v>
      </c>
      <c r="C51" t="s">
        <v>472</v>
      </c>
      <c r="D51" s="1" t="s">
        <v>473</v>
      </c>
      <c r="E51" t="s">
        <v>524</v>
      </c>
      <c r="F51" t="s">
        <v>475</v>
      </c>
      <c r="G51" t="s">
        <v>476</v>
      </c>
      <c r="H51" t="s">
        <v>455</v>
      </c>
      <c r="I51" s="36" t="s">
        <v>563</v>
      </c>
      <c r="J51" t="s">
        <v>21</v>
      </c>
      <c r="K51" t="s">
        <v>22</v>
      </c>
    </row>
    <row r="52" spans="1:11" ht="30" customHeight="1" x14ac:dyDescent="0.3">
      <c r="B52" t="s">
        <v>564</v>
      </c>
      <c r="I52" s="36" t="s">
        <v>563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39DEBB-D637-44FB-B74C-D62DABE93B8C}">
  <dimension ref="A1:K26"/>
  <sheetViews>
    <sheetView topLeftCell="C1" workbookViewId="0">
      <selection activeCell="C22" sqref="C22"/>
    </sheetView>
  </sheetViews>
  <sheetFormatPr defaultRowHeight="14.4" x14ac:dyDescent="0.3"/>
  <cols>
    <col min="1" max="2" width="0" hidden="1" customWidth="1"/>
    <col min="3" max="3" width="38.5546875" customWidth="1"/>
    <col min="5" max="5" width="18.6640625" customWidth="1"/>
    <col min="6" max="7" width="24" hidden="1" customWidth="1"/>
    <col min="8" max="8" width="33.88671875" style="1" customWidth="1"/>
    <col min="9" max="10" width="24" hidden="1" customWidth="1"/>
    <col min="11" max="11" width="41.6640625" style="1" customWidth="1"/>
    <col min="12" max="12" width="24" customWidth="1"/>
  </cols>
  <sheetData>
    <row r="1" spans="1:11" x14ac:dyDescent="0.3">
      <c r="A1" t="s">
        <v>0</v>
      </c>
      <c r="B1" t="s">
        <v>2</v>
      </c>
      <c r="C1" t="s">
        <v>4</v>
      </c>
      <c r="D1" t="s">
        <v>5</v>
      </c>
      <c r="E1" t="s">
        <v>6</v>
      </c>
      <c r="F1" t="s">
        <v>7</v>
      </c>
      <c r="G1" t="s">
        <v>8</v>
      </c>
      <c r="H1" s="1" t="s">
        <v>9</v>
      </c>
      <c r="I1" t="s">
        <v>10</v>
      </c>
      <c r="J1" t="s">
        <v>11</v>
      </c>
      <c r="K1" s="1" t="s">
        <v>1</v>
      </c>
    </row>
    <row r="2" spans="1:11" x14ac:dyDescent="0.3">
      <c r="A2" t="s">
        <v>90</v>
      </c>
      <c r="B2" t="s">
        <v>92</v>
      </c>
      <c r="C2" t="s">
        <v>94</v>
      </c>
      <c r="F2" t="s">
        <v>95</v>
      </c>
      <c r="G2" t="s">
        <v>96</v>
      </c>
      <c r="H2" s="1" t="s">
        <v>97</v>
      </c>
      <c r="I2" t="s">
        <v>21</v>
      </c>
      <c r="J2" t="s">
        <v>22</v>
      </c>
      <c r="K2" s="1" t="s">
        <v>91</v>
      </c>
    </row>
    <row r="3" spans="1:11" x14ac:dyDescent="0.3">
      <c r="A3" t="s">
        <v>98</v>
      </c>
      <c r="B3" t="s">
        <v>100</v>
      </c>
      <c r="C3" t="s">
        <v>94</v>
      </c>
      <c r="F3" t="s">
        <v>102</v>
      </c>
      <c r="G3" t="s">
        <v>96</v>
      </c>
      <c r="H3" s="1" t="s">
        <v>97</v>
      </c>
      <c r="I3" t="s">
        <v>21</v>
      </c>
      <c r="J3" t="s">
        <v>22</v>
      </c>
      <c r="K3" s="1" t="s">
        <v>99</v>
      </c>
    </row>
    <row r="4" spans="1:11" x14ac:dyDescent="0.3">
      <c r="A4" t="s">
        <v>103</v>
      </c>
      <c r="B4" t="s">
        <v>105</v>
      </c>
      <c r="F4" t="s">
        <v>106</v>
      </c>
      <c r="G4" s="2" t="s">
        <v>107</v>
      </c>
      <c r="H4" s="1" t="s">
        <v>108</v>
      </c>
      <c r="I4" t="s">
        <v>21</v>
      </c>
      <c r="J4" t="s">
        <v>22</v>
      </c>
      <c r="K4" s="1" t="s">
        <v>104</v>
      </c>
    </row>
    <row r="5" spans="1:11" x14ac:dyDescent="0.3">
      <c r="A5" t="s">
        <v>109</v>
      </c>
      <c r="B5" t="s">
        <v>111</v>
      </c>
      <c r="F5" t="s">
        <v>113</v>
      </c>
      <c r="G5" s="2" t="s">
        <v>107</v>
      </c>
      <c r="H5" s="1" t="s">
        <v>108</v>
      </c>
      <c r="I5" t="s">
        <v>21</v>
      </c>
      <c r="J5" t="s">
        <v>22</v>
      </c>
      <c r="K5" s="1" t="s">
        <v>110</v>
      </c>
    </row>
    <row r="6" spans="1:11" x14ac:dyDescent="0.3">
      <c r="A6" t="s">
        <v>141</v>
      </c>
      <c r="B6" t="s">
        <v>143</v>
      </c>
      <c r="C6" t="s">
        <v>94</v>
      </c>
      <c r="F6" t="s">
        <v>145</v>
      </c>
      <c r="G6" t="s">
        <v>139</v>
      </c>
      <c r="H6" s="1" t="s">
        <v>140</v>
      </c>
      <c r="I6" t="s">
        <v>21</v>
      </c>
      <c r="J6" t="s">
        <v>22</v>
      </c>
      <c r="K6" s="1" t="s">
        <v>142</v>
      </c>
    </row>
    <row r="7" spans="1:11" ht="43.2" x14ac:dyDescent="0.3">
      <c r="A7" t="s">
        <v>133</v>
      </c>
      <c r="B7" t="s">
        <v>135</v>
      </c>
      <c r="C7" t="s">
        <v>94</v>
      </c>
      <c r="E7" t="s">
        <v>137</v>
      </c>
      <c r="F7" t="s">
        <v>138</v>
      </c>
      <c r="G7" t="s">
        <v>139</v>
      </c>
      <c r="H7" s="1" t="s">
        <v>140</v>
      </c>
      <c r="I7" t="s">
        <v>21</v>
      </c>
      <c r="J7" t="s">
        <v>22</v>
      </c>
      <c r="K7" s="1" t="s">
        <v>134</v>
      </c>
    </row>
    <row r="8" spans="1:11" ht="28.8" x14ac:dyDescent="0.3">
      <c r="A8" t="s">
        <v>146</v>
      </c>
      <c r="B8" t="s">
        <v>148</v>
      </c>
      <c r="C8" t="s">
        <v>150</v>
      </c>
      <c r="F8" t="s">
        <v>151</v>
      </c>
      <c r="G8" t="s">
        <v>152</v>
      </c>
      <c r="H8" s="1" t="s">
        <v>153</v>
      </c>
      <c r="I8" t="s">
        <v>21</v>
      </c>
      <c r="J8" t="s">
        <v>22</v>
      </c>
      <c r="K8" s="1" t="s">
        <v>147</v>
      </c>
    </row>
    <row r="9" spans="1:11" ht="28.8" x14ac:dyDescent="0.3">
      <c r="A9" t="s">
        <v>337</v>
      </c>
      <c r="B9" t="s">
        <v>339</v>
      </c>
      <c r="C9" t="s">
        <v>186</v>
      </c>
      <c r="E9" t="s">
        <v>137</v>
      </c>
      <c r="F9" t="s">
        <v>341</v>
      </c>
      <c r="G9" t="s">
        <v>335</v>
      </c>
      <c r="H9" s="1" t="s">
        <v>336</v>
      </c>
      <c r="I9" t="s">
        <v>21</v>
      </c>
      <c r="J9" t="s">
        <v>22</v>
      </c>
      <c r="K9" s="1" t="s">
        <v>338</v>
      </c>
    </row>
    <row r="10" spans="1:11" ht="28.8" x14ac:dyDescent="0.3">
      <c r="A10" t="s">
        <v>294</v>
      </c>
      <c r="B10" t="s">
        <v>296</v>
      </c>
      <c r="C10" t="s">
        <v>186</v>
      </c>
      <c r="E10" t="s">
        <v>271</v>
      </c>
      <c r="F10" t="s">
        <v>298</v>
      </c>
      <c r="G10" t="s">
        <v>273</v>
      </c>
      <c r="H10" s="1" t="s">
        <v>274</v>
      </c>
      <c r="I10" t="s">
        <v>21</v>
      </c>
      <c r="J10" t="s">
        <v>22</v>
      </c>
      <c r="K10" s="1" t="s">
        <v>295</v>
      </c>
    </row>
    <row r="11" spans="1:11" ht="28.8" x14ac:dyDescent="0.3">
      <c r="A11" s="2" t="s">
        <v>279</v>
      </c>
      <c r="B11" t="s">
        <v>281</v>
      </c>
      <c r="C11" t="s">
        <v>186</v>
      </c>
      <c r="E11" t="s">
        <v>271</v>
      </c>
      <c r="F11" t="s">
        <v>283</v>
      </c>
      <c r="G11" t="s">
        <v>273</v>
      </c>
      <c r="H11" s="1" t="s">
        <v>274</v>
      </c>
      <c r="I11" t="s">
        <v>21</v>
      </c>
      <c r="J11" t="s">
        <v>22</v>
      </c>
      <c r="K11" s="1" t="s">
        <v>280</v>
      </c>
    </row>
    <row r="12" spans="1:11" ht="28.8" x14ac:dyDescent="0.3">
      <c r="A12" t="s">
        <v>289</v>
      </c>
      <c r="B12" t="s">
        <v>291</v>
      </c>
      <c r="C12" t="s">
        <v>186</v>
      </c>
      <c r="E12" t="s">
        <v>271</v>
      </c>
      <c r="F12" t="s">
        <v>293</v>
      </c>
      <c r="G12" t="s">
        <v>273</v>
      </c>
      <c r="H12" s="1" t="s">
        <v>274</v>
      </c>
      <c r="I12" t="s">
        <v>21</v>
      </c>
      <c r="J12" t="s">
        <v>22</v>
      </c>
      <c r="K12" s="1" t="s">
        <v>290</v>
      </c>
    </row>
    <row r="13" spans="1:11" ht="28.8" x14ac:dyDescent="0.3">
      <c r="A13" t="s">
        <v>304</v>
      </c>
      <c r="B13" t="s">
        <v>306</v>
      </c>
      <c r="C13" t="s">
        <v>186</v>
      </c>
      <c r="E13" t="s">
        <v>271</v>
      </c>
      <c r="F13" t="s">
        <v>308</v>
      </c>
      <c r="G13" t="s">
        <v>273</v>
      </c>
      <c r="H13" s="1" t="s">
        <v>274</v>
      </c>
      <c r="I13" t="s">
        <v>21</v>
      </c>
      <c r="J13" t="s">
        <v>22</v>
      </c>
      <c r="K13" s="1" t="s">
        <v>305</v>
      </c>
    </row>
    <row r="14" spans="1:11" ht="28.8" x14ac:dyDescent="0.3">
      <c r="A14" t="s">
        <v>299</v>
      </c>
      <c r="B14" t="s">
        <v>301</v>
      </c>
      <c r="C14" t="s">
        <v>186</v>
      </c>
      <c r="E14" t="s">
        <v>271</v>
      </c>
      <c r="F14" t="s">
        <v>303</v>
      </c>
      <c r="G14" t="s">
        <v>273</v>
      </c>
      <c r="H14" s="1" t="s">
        <v>274</v>
      </c>
      <c r="I14" t="s">
        <v>21</v>
      </c>
      <c r="J14" t="s">
        <v>22</v>
      </c>
      <c r="K14" s="1" t="s">
        <v>300</v>
      </c>
    </row>
    <row r="15" spans="1:11" ht="28.8" x14ac:dyDescent="0.3">
      <c r="A15" t="s">
        <v>267</v>
      </c>
      <c r="B15" t="s">
        <v>269</v>
      </c>
      <c r="C15" t="s">
        <v>94</v>
      </c>
      <c r="E15" t="s">
        <v>271</v>
      </c>
      <c r="F15" t="s">
        <v>272</v>
      </c>
      <c r="G15" t="s">
        <v>273</v>
      </c>
      <c r="H15" s="1" t="s">
        <v>274</v>
      </c>
      <c r="I15" t="s">
        <v>21</v>
      </c>
      <c r="J15" t="s">
        <v>22</v>
      </c>
      <c r="K15" s="1" t="s">
        <v>268</v>
      </c>
    </row>
    <row r="16" spans="1:11" ht="28.8" x14ac:dyDescent="0.3">
      <c r="A16" t="s">
        <v>319</v>
      </c>
      <c r="B16" t="s">
        <v>321</v>
      </c>
      <c r="C16" t="s">
        <v>94</v>
      </c>
      <c r="E16" t="s">
        <v>271</v>
      </c>
      <c r="F16" t="s">
        <v>323</v>
      </c>
      <c r="G16" t="s">
        <v>273</v>
      </c>
      <c r="H16" s="1" t="s">
        <v>274</v>
      </c>
      <c r="I16" t="s">
        <v>21</v>
      </c>
      <c r="J16" t="s">
        <v>22</v>
      </c>
      <c r="K16" s="1" t="s">
        <v>320</v>
      </c>
    </row>
    <row r="17" spans="1:11" ht="28.8" x14ac:dyDescent="0.3">
      <c r="A17" t="s">
        <v>314</v>
      </c>
      <c r="B17" t="s">
        <v>316</v>
      </c>
      <c r="C17" t="s">
        <v>94</v>
      </c>
      <c r="E17" t="s">
        <v>271</v>
      </c>
      <c r="F17" t="s">
        <v>318</v>
      </c>
      <c r="G17" t="s">
        <v>273</v>
      </c>
      <c r="H17" s="1" t="s">
        <v>274</v>
      </c>
      <c r="I17" t="s">
        <v>21</v>
      </c>
      <c r="J17" t="s">
        <v>22</v>
      </c>
      <c r="K17" s="1" t="s">
        <v>315</v>
      </c>
    </row>
    <row r="18" spans="1:11" ht="28.8" x14ac:dyDescent="0.3">
      <c r="A18" t="s">
        <v>324</v>
      </c>
      <c r="B18" t="s">
        <v>326</v>
      </c>
      <c r="C18" t="s">
        <v>186</v>
      </c>
      <c r="E18" t="s">
        <v>271</v>
      </c>
      <c r="F18" t="s">
        <v>328</v>
      </c>
      <c r="G18" t="s">
        <v>273</v>
      </c>
      <c r="H18" s="1" t="s">
        <v>274</v>
      </c>
      <c r="I18" t="s">
        <v>21</v>
      </c>
      <c r="J18" t="s">
        <v>22</v>
      </c>
      <c r="K18" s="1" t="s">
        <v>325</v>
      </c>
    </row>
    <row r="19" spans="1:11" ht="57.6" x14ac:dyDescent="0.3">
      <c r="A19" t="s">
        <v>309</v>
      </c>
      <c r="B19" t="s">
        <v>311</v>
      </c>
      <c r="C19" t="s">
        <v>94</v>
      </c>
      <c r="E19" t="s">
        <v>271</v>
      </c>
      <c r="F19" t="s">
        <v>313</v>
      </c>
      <c r="G19" t="s">
        <v>273</v>
      </c>
      <c r="H19" s="1" t="s">
        <v>274</v>
      </c>
      <c r="I19" t="s">
        <v>21</v>
      </c>
      <c r="J19" t="s">
        <v>22</v>
      </c>
      <c r="K19" s="1" t="s">
        <v>310</v>
      </c>
    </row>
    <row r="20" spans="1:11" ht="28.8" x14ac:dyDescent="0.3">
      <c r="A20" t="s">
        <v>284</v>
      </c>
      <c r="B20" t="s">
        <v>286</v>
      </c>
      <c r="C20" t="s">
        <v>186</v>
      </c>
      <c r="E20" t="s">
        <v>271</v>
      </c>
      <c r="F20" t="s">
        <v>288</v>
      </c>
      <c r="G20" t="s">
        <v>273</v>
      </c>
      <c r="H20" s="1" t="s">
        <v>274</v>
      </c>
      <c r="I20" t="s">
        <v>21</v>
      </c>
      <c r="J20" t="s">
        <v>22</v>
      </c>
      <c r="K20" s="1" t="s">
        <v>285</v>
      </c>
    </row>
    <row r="21" spans="1:11" ht="28.8" x14ac:dyDescent="0.3">
      <c r="A21" t="s">
        <v>275</v>
      </c>
      <c r="B21" t="s">
        <v>277</v>
      </c>
      <c r="C21" t="s">
        <v>94</v>
      </c>
      <c r="E21" t="s">
        <v>271</v>
      </c>
      <c r="F21" t="s">
        <v>278</v>
      </c>
      <c r="G21" t="s">
        <v>273</v>
      </c>
      <c r="H21" s="1" t="s">
        <v>274</v>
      </c>
      <c r="I21" t="s">
        <v>21</v>
      </c>
      <c r="J21" t="s">
        <v>22</v>
      </c>
      <c r="K21" s="1" t="s">
        <v>276</v>
      </c>
    </row>
    <row r="22" spans="1:11" ht="43.2" x14ac:dyDescent="0.3">
      <c r="A22" t="s">
        <v>188</v>
      </c>
      <c r="B22" t="s">
        <v>190</v>
      </c>
      <c r="C22" t="s">
        <v>186</v>
      </c>
      <c r="F22" t="s">
        <v>192</v>
      </c>
      <c r="G22" t="s">
        <v>161</v>
      </c>
      <c r="H22" s="1" t="s">
        <v>162</v>
      </c>
      <c r="I22" t="s">
        <v>21</v>
      </c>
      <c r="J22" t="s">
        <v>22</v>
      </c>
      <c r="K22" s="1" t="s">
        <v>189</v>
      </c>
    </row>
    <row r="23" spans="1:11" ht="43.2" x14ac:dyDescent="0.3">
      <c r="A23" t="s">
        <v>182</v>
      </c>
      <c r="B23" t="s">
        <v>184</v>
      </c>
      <c r="C23" t="s">
        <v>186</v>
      </c>
      <c r="F23" t="s">
        <v>187</v>
      </c>
      <c r="G23" t="s">
        <v>161</v>
      </c>
      <c r="H23" s="1" t="s">
        <v>162</v>
      </c>
      <c r="I23" t="s">
        <v>21</v>
      </c>
      <c r="J23" t="s">
        <v>22</v>
      </c>
      <c r="K23" s="1" t="s">
        <v>183</v>
      </c>
    </row>
    <row r="24" spans="1:11" x14ac:dyDescent="0.3">
      <c r="A24" t="s">
        <v>447</v>
      </c>
      <c r="B24" t="s">
        <v>449</v>
      </c>
      <c r="C24" t="s">
        <v>497</v>
      </c>
      <c r="D24" t="s">
        <v>452</v>
      </c>
      <c r="E24" t="s">
        <v>453</v>
      </c>
      <c r="F24" t="s">
        <v>454</v>
      </c>
      <c r="G24" t="s">
        <v>455</v>
      </c>
      <c r="H24" s="1" t="s">
        <v>456</v>
      </c>
      <c r="I24" t="s">
        <v>21</v>
      </c>
      <c r="J24" t="s">
        <v>22</v>
      </c>
      <c r="K24" s="1" t="s">
        <v>448</v>
      </c>
    </row>
    <row r="25" spans="1:11" x14ac:dyDescent="0.3">
      <c r="A25" t="s">
        <v>357</v>
      </c>
      <c r="B25" t="s">
        <v>359</v>
      </c>
      <c r="C25" t="s">
        <v>361</v>
      </c>
      <c r="D25" t="s">
        <v>353</v>
      </c>
      <c r="F25" t="s">
        <v>362</v>
      </c>
      <c r="G25" t="s">
        <v>355</v>
      </c>
      <c r="H25" s="1" t="s">
        <v>356</v>
      </c>
      <c r="I25" t="s">
        <v>21</v>
      </c>
      <c r="J25" t="s">
        <v>22</v>
      </c>
      <c r="K25" s="1" t="s">
        <v>358</v>
      </c>
    </row>
    <row r="26" spans="1:11" ht="43.2" x14ac:dyDescent="0.3">
      <c r="A26" t="s">
        <v>349</v>
      </c>
      <c r="B26" t="s">
        <v>351</v>
      </c>
      <c r="C26" t="s">
        <v>186</v>
      </c>
      <c r="D26" t="s">
        <v>353</v>
      </c>
      <c r="F26" t="s">
        <v>354</v>
      </c>
      <c r="G26" t="s">
        <v>355</v>
      </c>
      <c r="H26" s="1" t="s">
        <v>356</v>
      </c>
      <c r="I26" t="s">
        <v>21</v>
      </c>
      <c r="J26" t="s">
        <v>22</v>
      </c>
      <c r="K26" s="1" t="s">
        <v>350</v>
      </c>
    </row>
  </sheetData>
  <sortState xmlns:xlrd2="http://schemas.microsoft.com/office/spreadsheetml/2017/richdata2" ref="A6:Y26">
    <sortCondition ref="H6:H2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AD46-BD02-437E-A5FB-2CA203F52B14}">
  <dimension ref="A4:B6"/>
  <sheetViews>
    <sheetView workbookViewId="0">
      <selection activeCell="B7" sqref="B7"/>
    </sheetView>
  </sheetViews>
  <sheetFormatPr defaultRowHeight="14.4" x14ac:dyDescent="0.3"/>
  <cols>
    <col min="1" max="1" width="34.6640625" customWidth="1"/>
  </cols>
  <sheetData>
    <row r="4" spans="1:2" x14ac:dyDescent="0.3">
      <c r="A4" s="5" t="s">
        <v>400</v>
      </c>
      <c r="B4">
        <f>JHB!M43</f>
        <v>9</v>
      </c>
    </row>
    <row r="5" spans="1:2" x14ac:dyDescent="0.3">
      <c r="A5" s="5" t="s">
        <v>456</v>
      </c>
      <c r="B5">
        <f>JHB!M46</f>
        <v>5</v>
      </c>
    </row>
    <row r="6" spans="1:2" x14ac:dyDescent="0.3">
      <c r="A6" s="5" t="s">
        <v>489</v>
      </c>
      <c r="B6">
        <f>JHB!M48</f>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JHB DTA</vt:lpstr>
      <vt:lpstr>abstract</vt:lpstr>
      <vt:lpstr>Analysis - data-acquisition-rp2</vt:lpstr>
      <vt:lpstr>qjaPunsX - data-acquisition-rp2</vt:lpstr>
      <vt:lpstr>JHB</vt:lpstr>
      <vt:lpstr>Abidjan</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Elizabeth Frederick</dc:creator>
  <cp:lastModifiedBy>Elizabeth Frederick</cp:lastModifiedBy>
  <dcterms:created xsi:type="dcterms:W3CDTF">2024-06-05T12:03:10Z</dcterms:created>
  <dcterms:modified xsi:type="dcterms:W3CDTF">2025-05-14T14:37:03Z</dcterms:modified>
</cp:coreProperties>
</file>